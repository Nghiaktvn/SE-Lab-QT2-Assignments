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8ba8eee41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" sheetId="1" r:id="R2414266c691d463a"/>
    <x:sheet xmlns:r="http://schemas.openxmlformats.org/officeDocument/2006/relationships" name="Clarification Q&amp;A" sheetId="2" r:id="R6e879ea916404d48"/>
    <x:sheet xmlns:r="http://schemas.openxmlformats.org/officeDocument/2006/relationships" name="Requirements" sheetId="3" r:id="Ref2f7085eccf490b"/>
    <x:sheet xmlns:r="http://schemas.openxmlformats.org/officeDocument/2006/relationships" name="Use Cases" sheetId="4" r:id="R40b47a2420324ccf"/>
    <x:sheet xmlns:r="http://schemas.openxmlformats.org/officeDocument/2006/relationships" name="Artifact Tracker" sheetId="5" r:id="R436ea564b00b4ab3"/>
    <x:sheet xmlns:r="http://schemas.openxmlformats.org/officeDocument/2006/relationships" name="Consistency Check" sheetId="6" r:id="Rdef7cfe6cad64617"/>
    <x:sheet xmlns:r="http://schemas.openxmlformats.org/officeDocument/2006/relationships" name="AI Prompt Log" sheetId="7" r:id="Rca9b583cfe4d4c8e"/>
    <x:sheet xmlns:r="http://schemas.openxmlformats.org/officeDocument/2006/relationships" name="Commit Log" sheetId="8" r:id="R50d3357af51a413d"/>
    <x:sheet xmlns:r="http://schemas.openxmlformats.org/officeDocument/2006/relationships" name="Progress Log" sheetId="9" r:id="R9a7a5c949bf145f0"/>
    <x:sheet xmlns:r="http://schemas.openxmlformats.org/officeDocument/2006/relationships" name="Marking" sheetId="10" r:id="Rcd309ceba25142cb"/>
    <x:sheet xmlns:r="http://schemas.openxmlformats.org/officeDocument/2006/relationships" name="Summary" sheetId="11" r:id="R78a08840014a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sz val="10"/>
      <x:color rgb="FF1F4E78"/>
      <x:name val="Calibri"/>
    </x:font>
    <x:font>
      <x:b/>
      <x:sz val="16"/>
      <x:color rgb="FFFFFFFF"/>
      <x:name val="Calibri"/>
    </x:font>
    <x:font>
      <x:sz val="10"/>
      <x:color rgb="FF202C2C"/>
      <x:name val="Calibri"/>
    </x:font>
    <x:font>
      <x:b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83638"/>
      </x:patternFill>
    </x:fill>
    <x:fill>
      <x:patternFill patternType="solid">
        <x:fgColor rgb="FF24715D"/>
      </x:patternFill>
    </x:fill>
    <x:fill>
      <x:patternFill patternType="solid">
        <x:fgColor rgb="FFFFF2CC"/>
      </x:patternFill>
    </x:fill>
    <x:fill>
      <x:patternFill patternType="solid">
        <x:fgColor rgb="FFF3F7F2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2" fillId="2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3" borderId="0" xfId="0" applyAlignment="1">
      <x:alignment vertical="top" wrapText="1"/>
    </x:xf>
    <x:xf numFmtId="0" fontId="1" fillId="4" borderId="0" xfId="0" applyAlignment="1">
      <x:alignment vertical="top" wrapText="1"/>
    </x:xf>
    <x:xf numFmtId="0" fontId="3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1" fillId="7" borderId="0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1416be1674f8d" /><Relationship Type="http://schemas.openxmlformats.org/officeDocument/2006/relationships/theme" Target="/xl/theme/theme1.xml" Id="Rdd8791ad28224a15" /><Relationship Type="http://schemas.openxmlformats.org/officeDocument/2006/relationships/sharedStrings" Target="/xl/sharedStrings.xml" Id="R94d41e0bae98479c" /><Relationship Type="http://schemas.openxmlformats.org/officeDocument/2006/relationships/worksheet" Target="/xl/worksheets/sheet1.xml" Id="R2414266c691d463a" /><Relationship Type="http://schemas.openxmlformats.org/officeDocument/2006/relationships/worksheet" Target="/xl/worksheets/sheet2.xml" Id="R6e879ea916404d48" /><Relationship Type="http://schemas.openxmlformats.org/officeDocument/2006/relationships/worksheet" Target="/xl/worksheets/sheet3.xml" Id="Ref2f7085eccf490b" /><Relationship Type="http://schemas.openxmlformats.org/officeDocument/2006/relationships/worksheet" Target="/xl/worksheets/sheet4.xml" Id="R40b47a2420324ccf" /><Relationship Type="http://schemas.openxmlformats.org/officeDocument/2006/relationships/worksheet" Target="/xl/worksheets/sheet5.xml" Id="R436ea564b00b4ab3" /><Relationship Type="http://schemas.openxmlformats.org/officeDocument/2006/relationships/worksheet" Target="/xl/worksheets/sheet6.xml" Id="Rdef7cfe6cad64617" /><Relationship Type="http://schemas.openxmlformats.org/officeDocument/2006/relationships/worksheet" Target="/xl/worksheets/sheet7.xml" Id="Rca9b583cfe4d4c8e" /><Relationship Type="http://schemas.openxmlformats.org/officeDocument/2006/relationships/worksheet" Target="/xl/worksheets/sheet8.xml" Id="R50d3357af51a413d" /><Relationship Type="http://schemas.openxmlformats.org/officeDocument/2006/relationships/worksheet" Target="/xl/worksheets/sheet9.xml" Id="R9a7a5c949bf145f0" /><Relationship Type="http://schemas.openxmlformats.org/officeDocument/2006/relationships/worksheet" Target="/xl/worksheets/sheet10.xml" Id="Rcd309ceba25142cb" /><Relationship Type="http://schemas.openxmlformats.org/officeDocument/2006/relationships/worksheet" Target="/xl/worksheets/sheet11.xml" Id="R78a08840014a43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6" customWidth="1"/>
    <x:col min="2" max="2" width="17" customWidth="1"/>
    <x:col min="3" max="3" width="57" customWidth="1"/>
    <x:col min="4" max="4" width="18" customWidth="1"/>
    <x:col min="5" max="5" width="18" customWidth="1"/>
    <x:col min="6" max="6" width="40" customWidth="1"/>
  </x:cols>
  <x:sheetData>
    <x:row r="1" ht="30" customHeight="1">
      <x:c r="A1" s="1" t="inlineStr">
        <x:is>
          <x:t xml:space="preserve">Team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2" t="inlineStr">
        <x:is>
          <x:t xml:space="preserve">Verified artifacts and pending team/lecturer evidence are recorded separately.</x:t>
        </x:is>
      </x:c>
      <x:c r="B2" s="2" t="n"/>
      <x:c r="C2" s="2" t="n"/>
      <x:c r="D2" s="2" t="n"/>
      <x:c r="E2" s="3" t="n"/>
      <x:c r="F2" s="2" t="n"/>
    </x:row>
    <x:row r="3">
      <x:c r="A3" s="4" t="inlineStr">
        <x:is>
          <x:t xml:space="preserve">Name</x:t>
        </x:is>
      </x:c>
      <x:c r="B3" s="4" t="inlineStr">
        <x:is>
          <x:t xml:space="preserve">Student ID</x:t>
        </x:is>
      </x:c>
      <x:c r="C3" s="4" t="inlineStr">
        <x:is>
          <x:t xml:space="preserve">Role / actual ownership</x:t>
        </x:is>
      </x:c>
      <x:c r="D3" s="4" t="inlineStr">
        <x:is>
          <x:t xml:space="preserve">Contribution %</x:t>
        </x:is>
      </x:c>
      <x:c r="E3" s="4" t="inlineStr">
        <x:is>
          <x:t xml:space="preserve">Commit count</x:t>
        </x:is>
      </x:c>
      <x:c r="F3" s="4" t="inlineStr">
        <x:is>
          <x:t xml:space="preserve">GitHub profile</x:t>
        </x:is>
      </x:c>
    </x:row>
    <x:row r="4" ht="42" customHeight="1">
      <x:c r="A4" s="5" t="inlineStr">
        <x:is>
          <x:t xml:space="preserve">Phạm Trung Nghĩa</x:t>
        </x:is>
      </x:c>
      <x:c r="B4" s="5" t="inlineStr">
        <x:is>
          <x:t xml:space="preserve">524H0172</x:t>
        </x:is>
      </x:c>
      <x:c r="C4" s="5" t="inlineStr">
        <x:is>
          <x:t xml:space="preserve">Confirmed contact; actual feature ownership pending</x:t>
        </x:is>
      </x:c>
      <x:c r="D4" s="5" t="n"/>
      <x:c r="E4" s="6" t="n">
        <x:f>COUNTIF('Commit Log'!C4:C500,B4)</x:f>
        <x:v>0</x:v>
      </x:c>
      <x:c r="F4" s="5" t="inlineStr">
        <x:is>
          <x:t xml:space="preserve">https://github.com/Nghiaktvn</x:t>
        </x:is>
      </x:c>
    </x:row>
    <x:row r="5" ht="42" customHeight="1">
      <x:c r="A5" s="5" t="n"/>
      <x:c r="B5" s="5" t="n"/>
      <x:c r="C5" s="5" t="n"/>
      <x:c r="D5" s="5" t="n"/>
      <x:c r="E5" s="7" t="str">
        <x:f>IF(B5="","",COUNTIF('Commit Log'!C4:C500,B5))</x:f>
      </x:c>
      <x:c r="F5" s="5" t="n"/>
    </x:row>
    <x:row r="6" ht="42" customHeight="1">
      <x:c r="A6" s="5" t="n"/>
      <x:c r="B6" s="5" t="n"/>
      <x:c r="C6" s="5" t="n"/>
      <x:c r="D6" s="5" t="n"/>
      <x:c r="E6" s="6" t="str">
        <x:f>IF(B6="","",COUNTIF('Commit Log'!C4:C500,B6))</x:f>
      </x:c>
      <x:c r="F6" s="5" t="n"/>
    </x:row>
    <x:row r="7" ht="42" customHeight="1">
      <x:c r="A7" s="5" t="n"/>
      <x:c r="B7" s="5" t="n"/>
      <x:c r="C7" s="5" t="n"/>
      <x:c r="D7" s="5" t="n"/>
      <x:c r="E7" s="7" t="str">
        <x:f>IF(B7="","",COUNTIF('Commit Log'!C4:C500,B7))</x:f>
      </x:c>
      <x:c r="F7" s="5" t="n"/>
    </x:row>
    <x:row r="8" ht="42" customHeight="1">
      <x:c r="A8" s="5" t="n"/>
      <x:c r="B8" s="5" t="n"/>
      <x:c r="C8" s="5" t="n"/>
      <x:c r="D8" s="5" t="n"/>
      <x:c r="E8" s="6" t="str">
        <x:f>IF(B8="","",COUNTIF('Commit Log'!C4:C500,B8))</x:f>
      </x:c>
      <x:c r="F8" s="5" t="n"/>
    </x:row>
    <x:row r="9">
      <x:c r="A9" t="inlineStr">
        <x:is>
          <x:t xml:space="preserve">TOTAL</x:t>
        </x:is>
      </x:c>
      <x:c r="C9" t="inlineStr">
        <x:is>
          <x:t xml:space="preserve">3–5 actual members required</x:t>
        </x:is>
      </x:c>
      <x:c r="D9" t="n">
        <x:f>SUM(D4:D8)</x:f>
        <x:v>0</x:v>
      </x:c>
    </x:row>
    <x:row r="10">
      <x:c r="A10" t="inlineStr">
        <x:is>
          <x:t xml:space="preserve">Group number</x:t>
        </x:is>
      </x:c>
      <x:c r="C10" t="inlineStr">
        <x:is>
          <x:t xml:space="preserve">Pending group confirmation</x:t>
        </x:is>
      </x:c>
    </x:row>
    <x:row r="11">
      <x:c r="A11" t="inlineStr">
        <x:is>
          <x:t xml:space="preserve">Assignment</x:t>
        </x:is>
      </x:c>
      <x:c r="B11" t="inlineStr">
        <x:is>
          <x:t xml:space="preserve">Smart Ticketing</x:t>
        </x:is>
      </x:c>
    </x:row>
  </x:sheetData>
  <x:mergeCells>
    <x:mergeCell ref="A2:F2"/>
    <x:mergeCell ref="A1:F1"/>
  </x:mergeCells>
  <x:dataValidations count="1">
    <x:dataValidation type="decimal" operator="between" allowBlank="0" showDropDown="0" showInputMessage="0" showErrorMessage="1" sqref="D4:D8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0" customWidth="1"/>
    <x:col min="2" max="2" width="45" customWidth="1"/>
    <x:col min="3" max="3" width="65" customWidth="1"/>
    <x:col min="4" max="4" width="55" customWidth="1"/>
    <x:col min="5" max="5" width="28" customWidth="1"/>
  </x:cols>
  <x:sheetData>
    <x:row r="1" ht="30" customHeight="1">
      <x:c r="A1" s="1" t="inlineStr">
        <x:is>
          <x:t xml:space="preserve">Clarification Q&amp;A | 23 October 2026</x:t>
        </x:is>
      </x:c>
      <x:c r="B1" s="1" t="n"/>
      <x:c r="C1" s="1" t="n"/>
      <x:c r="D1" s="1" t="n"/>
      <x:c r="E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2" t="n"/>
      <x:c r="C2" s="2" t="n"/>
      <x:c r="D2" s="2" t="n"/>
      <x:c r="E2" s="2" t="n"/>
    </x:row>
    <x:row r="3">
      <x:c r="A3" s="4" t="inlineStr">
        <x:is>
          <x:t xml:space="preserve">ID</x:t>
        </x:is>
      </x:c>
      <x:c r="B3" s="4" t="inlineStr">
        <x:is>
          <x:t xml:space="preserve">Question</x:t>
        </x:is>
      </x:c>
      <x:c r="C3" s="4" t="inlineStr">
        <x:is>
          <x:t xml:space="preserve">Assumed answer</x:t>
        </x:is>
      </x:c>
      <x:c r="D3" s="4" t="inlineStr">
        <x:is>
          <x:t xml:space="preserve">Design impact</x:t>
        </x:is>
      </x:c>
      <x:c r="E3" s="4" t="inlineStr">
        <x:is>
          <x:t xml:space="preserve">Requirement IDs</x:t>
        </x:is>
      </x:c>
    </x:row>
    <x:row r="4" ht="62" customHeight="1">
      <x:c r="A4" s="6" t="inlineStr">
        <x:is>
          <x:t xml:space="preserve">Q1</x:t>
        </x:is>
      </x:c>
      <x:c r="B4" s="5" t="inlineStr">
        <x:is>
          <x:t xml:space="preserve">Which passenger types, routes, and fares are sold?</x:t>
        </x:is>
      </x:c>
      <x:c r="C4" s="5" t="inlineStr">
        <x:is>
          <x:t xml:space="preserve">Adult single journey; operator-maintained route and fare catalogue.</x:t>
        </x:is>
      </x:c>
      <x:c r="D4" s="5" t="inlineStr">
        <x:is>
          <x:t xml:space="preserve">Destination and fare snapshot in each ticket transaction.</x:t>
        </x:is>
      </x:c>
      <x:c r="E4" s="5" t="inlineStr">
        <x:is>
          <x:t xml:space="preserve">FR-01, DR-02</x:t>
        </x:is>
      </x:c>
    </x:row>
    <x:row r="5" ht="62" customHeight="1">
      <x:c r="A5" s="7" t="inlineStr">
        <x:is>
          <x:t xml:space="preserve">Q2</x:t>
        </x:is>
      </x:c>
      <x:c r="B5" s="5" t="inlineStr">
        <x:is>
          <x:t xml:space="preserve">Are card and wallet integrations live?</x:t>
        </x:is>
      </x:c>
      <x:c r="C5" s="5" t="inlineStr">
        <x:is>
          <x:t xml:space="preserve">Production uses certified providers; current demo is simulation only.</x:t>
        </x:is>
      </x:c>
      <x:c r="D5" s="5" t="inlineStr">
        <x:is>
          <x:t xml:space="preserve">Adapter boundaries; no real charge or credentials in demo.</x:t>
        </x:is>
      </x:c>
      <x:c r="E5" s="5" t="inlineStr">
        <x:is>
          <x:t xml:space="preserve">FR-02, NFR-06</x:t>
        </x:is>
      </x:c>
    </x:row>
    <x:row r="6" ht="62" customHeight="1">
      <x:c r="A6" s="6" t="inlineStr">
        <x:is>
          <x:t xml:space="preserve">Q3</x:t>
        </x:is>
      </x:c>
      <x:c r="B6" s="5" t="inlineStr">
        <x:is>
          <x:t xml:space="preserve">How are declined, timed-out, and duplicate payments handled?</x:t>
        </x:is>
      </x:c>
      <x:c r="C6" s="5" t="inlineStr">
        <x:is>
          <x:t xml:space="preserve">Decline permits retry; timeout remains unknown until reconciliation; callbacks are idempotent.</x:t>
        </x:is>
      </x:c>
      <x:c r="D6" s="5" t="inlineStr">
        <x:is>
          <x:t xml:space="preserve">No ticket until confirmed; unique idempotency reference.</x:t>
        </x:is>
      </x:c>
      <x:c r="E6" s="5" t="inlineStr">
        <x:is>
          <x:t xml:space="preserve">FR-03, DR-03, DR-05</x:t>
        </x:is>
      </x:c>
    </x:row>
    <x:row r="7" ht="62" customHeight="1">
      <x:c r="A7" s="7" t="inlineStr">
        <x:is>
          <x:t xml:space="preserve">Q4</x:t>
        </x:is>
      </x:c>
      <x:c r="B7" s="5" t="inlineStr">
        <x:is>
          <x:t xml:space="preserve">When is a ticket valid and how is it checked?</x:t>
        </x:is>
      </x:c>
      <x:c r="C7" s="5" t="inlineStr">
        <x:is>
          <x:t xml:space="preserve">Single journey valid for the service day; barcode holds an opaque unique ticket ID.</x:t>
        </x:is>
      </x:c>
      <x:c r="D7" s="5" t="inlineStr">
        <x:is>
          <x:t xml:space="preserve">Unique ticket identity; no personal data in barcode.</x:t>
        </x:is>
      </x:c>
      <x:c r="E7" s="5" t="inlineStr">
        <x:is>
          <x:t xml:space="preserve">FR-04, DR-04</x:t>
        </x:is>
      </x:c>
    </x:row>
    <x:row r="8" ht="62" customHeight="1">
      <x:c r="A8" s="6" t="inlineStr">
        <x:is>
          <x:t xml:space="preserve">Q5</x:t>
        </x:is>
      </x:c>
      <x:c r="B8" s="5" t="inlineStr">
        <x:is>
          <x:t xml:space="preserve">Are refund and cancellation supported?</x:t>
        </x:is>
      </x:c>
      <x:c r="C8" s="5" t="inlineStr">
        <x:is>
          <x:t xml:space="preserve">Cancel before payment; after capture use operator-audited reversal/refund.</x:t>
        </x:is>
      </x:c>
      <x:c r="D8" s="5" t="inlineStr">
        <x:is>
          <x:t xml:space="preserve">Transaction state and compensation record.</x:t>
        </x:is>
      </x:c>
      <x:c r="E8" s="5" t="inlineStr">
        <x:is>
          <x:t xml:space="preserve">FR-07, DR-07</x:t>
        </x:is>
      </x:c>
    </x:row>
    <x:row r="9" ht="62" customHeight="1">
      <x:c r="A9" s="7" t="inlineStr">
        <x:is>
          <x:t xml:space="preserve">Q6</x:t>
        </x:is>
      </x:c>
      <x:c r="B9" s="5" t="inlineStr">
        <x:is>
          <x:t xml:space="preserve">Which accessibility and language requirements apply?</x:t>
        </x:is>
      </x:c>
      <x:c r="C9" s="5" t="inlineStr">
        <x:is>
          <x:t xml:space="preserve">Vietnamese/English, high contrast, large touch targets, accessible timeout.</x:t>
        </x:is>
      </x:c>
      <x:c r="D9" s="5" t="inlineStr">
        <x:is>
          <x:t xml:space="preserve">Bilingual UI and accessibility acceptance criteria.</x:t>
        </x:is>
      </x:c>
      <x:c r="E9" s="5" t="inlineStr">
        <x:is>
          <x:t xml:space="preserve">NFR-07</x:t>
        </x:is>
      </x:c>
    </x:row>
    <x:row r="10" ht="62" customHeight="1">
      <x:c r="A10" s="6" t="inlineStr">
        <x:is>
          <x:t xml:space="preserve">Q7</x:t>
        </x:is>
      </x:c>
      <x:c r="B10" s="5" t="inlineStr">
        <x:is>
          <x:t xml:space="preserve">What payment data is retained?</x:t>
        </x:is>
      </x:c>
      <x:c r="C10" s="5" t="inlineStr">
        <x:is>
          <x:t xml:space="preserve">Never retain PAN, CVV, wallet credentials, or raw QR; retain masked provider reference.</x:t>
        </x:is>
      </x:c>
      <x:c r="D10" s="5" t="inlineStr">
        <x:is>
          <x:t xml:space="preserve">Data minimization and secure audit log.</x:t>
        </x:is>
      </x:c>
      <x:c r="E10" s="5" t="inlineStr">
        <x:is>
          <x:t xml:space="preserve">NFR-06</x:t>
        </x:is>
      </x:c>
    </x:row>
    <x:row r="11" ht="62" customHeight="1">
      <x:c r="A11" s="7" t="inlineStr">
        <x:is>
          <x:t xml:space="preserve">Q8</x:t>
        </x:is>
      </x:c>
      <x:c r="B11" s="5" t="inlineStr">
        <x:is>
          <x:t xml:space="preserve">What availability and response time are required?</x:t>
        </x:is>
      </x:c>
      <x:c r="C11" s="5" t="inlineStr">
        <x:is>
          <x:t xml:space="preserve">99.5% monthly kiosk availability; UI p95 &lt;=1s; routes &lt;=2s; payment timeout 15s.</x:t>
        </x:is>
      </x:c>
      <x:c r="D11" s="5" t="inlineStr">
        <x:is>
          <x:t xml:space="preserve">Measurable NFRs; monitor availability and latency.</x:t>
        </x:is>
      </x:c>
      <x:c r="E11" s="5" t="inlineStr">
        <x:is>
          <x:t xml:space="preserve">NFR-01..05</x:t>
        </x:is>
      </x:c>
    </x:row>
    <x:row r="12" ht="62" customHeight="1">
      <x:c r="A12" s="6" t="inlineStr">
        <x:is>
          <x:t xml:space="preserve">Q9</x:t>
        </x:is>
      </x:c>
      <x:c r="B12" s="5" t="inlineStr">
        <x:is>
          <x:t xml:space="preserve">Is cash payment required?</x:t>
        </x:is>
      </x:c>
      <x:c r="C12" s="5" t="inlineStr">
        <x:is>
          <x:t xml:space="preserve">Out of scope; brief specifies card, QR, and wallet.</x:t>
        </x:is>
      </x:c>
      <x:c r="D12" s="5" t="inlineStr">
        <x:is>
          <x:t xml:space="preserve">No cash hardware or cash reconciliation.</x:t>
        </x:is>
      </x:c>
      <x:c r="E12" s="5" t="inlineStr">
        <x:is>
          <x:t xml:space="preserve">FR-02</x:t>
        </x:is>
      </x:c>
    </x:row>
    <x:row r="13" ht="62" customHeight="1">
      <x:c r="A13" s="7" t="inlineStr">
        <x:is>
          <x:t xml:space="preserve">Q10</x:t>
        </x:is>
      </x:c>
      <x:c r="B13" s="5" t="inlineStr">
        <x:is>
          <x:t xml:space="preserve">What if network or printer fails?</x:t>
        </x:is>
      </x:c>
      <x:c r="C13" s="5" t="inlineStr">
        <x:is>
          <x:t xml:space="preserve">Fail safely; no ticket before confirmed payment; reconcile, reprint, or compensate.</x:t>
        </x:is>
      </x:c>
      <x:c r="D13" s="5" t="inlineStr">
        <x:is>
          <x:t xml:space="preserve">Fault state and recovery workflow.</x:t>
        </x:is>
      </x:c>
      <x:c r="E13" s="5" t="inlineStr">
        <x:is>
          <x:t xml:space="preserve">FR-07, FR-08</x:t>
        </x:is>
      </x:c>
    </x:row>
    <x:row r="14" ht="62" customHeight="1">
      <x:c r="A14" s="6" t="inlineStr">
        <x:is>
          <x:t xml:space="preserve">Q11</x:t>
        </x:is>
      </x:c>
      <x:c r="B14" s="5" t="inlineStr">
        <x:is>
          <x:t xml:space="preserve">Which external systems are integrated?</x:t>
        </x:is>
      </x:c>
      <x:c r="C14" s="5" t="inlineStr">
        <x:is>
          <x:t xml:space="preserve">Route/fare API, card acquirer, Momo/VNPay/ZaloPay, validator, monitoring.</x:t>
        </x:is>
      </x:c>
      <x:c r="D14" s="5" t="inlineStr">
        <x:is>
          <x:t xml:space="preserve">Deployment and activity diagram actors.</x:t>
        </x:is>
      </x:c>
      <x:c r="E14" s="5" t="inlineStr">
        <x:is>
          <x:t xml:space="preserve">FR-02, FR-03</x:t>
        </x:is>
      </x:c>
    </x:row>
    <x:row r="15" ht="62" customHeight="1">
      <x:c r="A15" s="7" t="inlineStr">
        <x:is>
          <x:t xml:space="preserve">Q12</x:t>
        </x:is>
      </x:c>
      <x:c r="B15" s="5" t="inlineStr">
        <x:is>
          <x:t xml:space="preserve">How long are records retained?</x:t>
        </x:is>
      </x:c>
      <x:c r="C15" s="5" t="inlineStr">
        <x:is>
          <x:t xml:space="preserve">Non-sensitive transaction events retained 12 months, subject to operator policy.</x:t>
        </x:is>
      </x:c>
      <x:c r="D15" s="5" t="inlineStr">
        <x:is>
          <x:t xml:space="preserve">Retention configurable; audit policy requires approval.</x:t>
        </x:is>
      </x:c>
      <x:c r="E15" s="5" t="inlineStr">
        <x:is>
          <x:t xml:space="preserve">FR-06, NFR-06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5" customWidth="1"/>
    <x:col min="2" max="2" width="20" customWidth="1"/>
    <x:col min="3" max="3" width="75" customWidth="1"/>
    <x:col min="4" max="4" width="72" customWidth="1"/>
    <x:col min="5" max="5" width="15" customWidth="1"/>
    <x:col min="6" max="6" width="32" customWidth="1"/>
  </x:cols>
  <x:sheetData>
    <x:row r="1" ht="30" customHeight="1">
      <x:c r="A1" s="1" t="inlineStr">
        <x:is>
          <x:t xml:space="preserve">Requirements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2" t="n"/>
      <x:c r="D2" s="2" t="n"/>
      <x:c r="E2" s="2" t="n"/>
      <x:c r="F2" s="2" t="n"/>
    </x:row>
    <x:row r="3">
      <x:c r="A3" s="4" t="inlineStr">
        <x:is>
          <x:t xml:space="preserve">ID</x:t>
        </x:is>
      </x:c>
      <x:c r="B3" s="4" t="inlineStr">
        <x:is>
          <x:t xml:space="preserve">Type</x:t>
        </x:is>
      </x:c>
      <x:c r="C3" s="4" t="inlineStr">
        <x:is>
          <x:t xml:space="preserve">Requirement</x:t>
        </x:is>
      </x:c>
      <x:c r="D3" s="4" t="inlineStr">
        <x:is>
          <x:t xml:space="preserve">Acceptance target</x:t>
        </x:is>
      </x:c>
      <x:c r="E3" s="4" t="inlineStr">
        <x:is>
          <x:t xml:space="preserve">Priority</x:t>
        </x:is>
      </x:c>
      <x:c r="F3" s="4" t="inlineStr">
        <x:is>
          <x:t xml:space="preserve">Source / use case</x:t>
        </x:is>
      </x:c>
    </x:row>
    <x:row r="4" ht="62" customHeight="1">
      <x:c r="A4" s="6" t="inlineStr">
        <x:is>
          <x:t xml:space="preserve">FR-01</x:t>
        </x:is>
      </x:c>
      <x:c r="B4" s="6" t="inlineStr">
        <x:is>
          <x:t xml:space="preserve">Functional</x:t>
        </x:is>
      </x:c>
      <x:c r="C4" s="5" t="inlineStr">
        <x:is>
          <x:t xml:space="preserve">Start a purchase and show active destinations and fares.</x:t>
        </x:is>
      </x:c>
      <x:c r="D4" s="5" t="inlineStr">
        <x:is>
          <x:t xml:space="preserve">Route list response &lt;=2 seconds; inactive routes cannot be selected.</x:t>
        </x:is>
      </x:c>
      <x:c r="E4" s="5" t="inlineStr">
        <x:is>
          <x:t xml:space="preserve">Must</x:t>
        </x:is>
      </x:c>
      <x:c r="F4" s="5" t="inlineStr">
        <x:is>
          <x:t xml:space="preserve">Q1–Q12 / UC-01..09</x:t>
        </x:is>
      </x:c>
    </x:row>
    <x:row r="5" ht="62" customHeight="1">
      <x:c r="A5" s="7" t="inlineStr">
        <x:is>
          <x:t xml:space="preserve">FR-02</x:t>
        </x:is>
      </x:c>
      <x:c r="B5" s="7" t="inlineStr">
        <x:is>
          <x:t xml:space="preserve">Functional</x:t>
        </x:is>
      </x:c>
      <x:c r="C5" s="5" t="inlineStr">
        <x:is>
          <x:t xml:space="preserve">Select destination and card or wallet QR payment.</x:t>
        </x:is>
      </x:c>
      <x:c r="D5" s="5" t="inlineStr">
        <x:is>
          <x:t xml:space="preserve">Fare and route remain visible until confirmation.</x:t>
        </x:is>
      </x:c>
      <x:c r="E5" s="5" t="inlineStr">
        <x:is>
          <x:t xml:space="preserve">Must</x:t>
        </x:is>
      </x:c>
      <x:c r="F5" s="5" t="inlineStr">
        <x:is>
          <x:t xml:space="preserve">Q1–Q12 / UC-01..09</x:t>
        </x:is>
      </x:c>
    </x:row>
    <x:row r="6" ht="62" customHeight="1">
      <x:c r="A6" s="6" t="inlineStr">
        <x:is>
          <x:t xml:space="preserve">FR-03</x:t>
        </x:is>
      </x:c>
      <x:c r="B6" s="6" t="inlineStr">
        <x:is>
          <x:t xml:space="preserve">Functional</x:t>
        </x:is>
      </x:c>
      <x:c r="C6" s="5" t="inlineStr">
        <x:is>
          <x:t xml:space="preserve">Authorize using an idempotency key and handle all outcomes.</x:t>
        </x:is>
      </x:c>
      <x:c r="D6" s="5" t="inlineStr">
        <x:is>
          <x:t xml:space="preserve">Approve/decline/pending/timeout handled with no duplicate charge.</x:t>
        </x:is>
      </x:c>
      <x:c r="E6" s="5" t="inlineStr">
        <x:is>
          <x:t xml:space="preserve">Must</x:t>
        </x:is>
      </x:c>
      <x:c r="F6" s="5" t="inlineStr">
        <x:is>
          <x:t xml:space="preserve">Q1–Q12 / UC-01..09</x:t>
        </x:is>
      </x:c>
    </x:row>
    <x:row r="7" ht="62" customHeight="1">
      <x:c r="A7" s="7" t="inlineStr">
        <x:is>
          <x:t xml:space="preserve">FR-04</x:t>
        </x:is>
      </x:c>
      <x:c r="B7" s="7" t="inlineStr">
        <x:is>
          <x:t xml:space="preserve">Functional</x:t>
        </x:is>
      </x:c>
      <x:c r="C7" s="5" t="inlineStr">
        <x:is>
          <x:t xml:space="preserve">Print a barcode ticket only after confirmed payment.</x:t>
        </x:is>
      </x:c>
      <x:c r="D7" s="5" t="inlineStr">
        <x:is>
          <x:t xml:space="preserve">Exactly one usable ticket per paid transaction.</x:t>
        </x:is>
      </x:c>
      <x:c r="E7" s="5" t="inlineStr">
        <x:is>
          <x:t xml:space="preserve">Must</x:t>
        </x:is>
      </x:c>
      <x:c r="F7" s="5" t="inlineStr">
        <x:is>
          <x:t xml:space="preserve">Q1–Q12 / UC-01..09</x:t>
        </x:is>
      </x:c>
    </x:row>
    <x:row r="8" ht="62" customHeight="1">
      <x:c r="A8" s="6" t="inlineStr">
        <x:is>
          <x:t xml:space="preserve">FR-05</x:t>
        </x:is>
      </x:c>
      <x:c r="B8" s="6" t="inlineStr">
        <x:is>
          <x:t xml:space="preserve">Functional</x:t>
        </x:is>
      </x:c>
      <x:c r="C8" s="5" t="inlineStr">
        <x:is>
          <x:t xml:space="preserve">Display route, fare, time, and masked reference on receipt.</x:t>
        </x:is>
      </x:c>
      <x:c r="D8" s="5" t="inlineStr">
        <x:is>
          <x:t xml:space="preserve">No sensitive payment credential appears.</x:t>
        </x:is>
      </x:c>
      <x:c r="E8" s="5" t="inlineStr">
        <x:is>
          <x:t xml:space="preserve">Must</x:t>
        </x:is>
      </x:c>
      <x:c r="F8" s="5" t="inlineStr">
        <x:is>
          <x:t xml:space="preserve">Q1–Q12 / UC-01..09</x:t>
        </x:is>
      </x:c>
    </x:row>
    <x:row r="9" ht="62" customHeight="1">
      <x:c r="A9" s="7" t="inlineStr">
        <x:is>
          <x:t xml:space="preserve">FR-06</x:t>
        </x:is>
      </x:c>
      <x:c r="B9" s="7" t="inlineStr">
        <x:is>
          <x:t xml:space="preserve">Functional</x:t>
        </x:is>
      </x:c>
      <x:c r="C9" s="5" t="inlineStr">
        <x:is>
          <x:t xml:space="preserve">Audit payment, transaction, print, and status events.</x:t>
        </x:is>
      </x:c>
      <x:c r="D9" s="5" t="inlineStr">
        <x:is>
          <x:t xml:space="preserve">Searchable by transaction ID; excludes PAN/CVV.</x:t>
        </x:is>
      </x:c>
      <x:c r="E9" s="5" t="inlineStr">
        <x:is>
          <x:t xml:space="preserve">Must</x:t>
        </x:is>
      </x:c>
      <x:c r="F9" s="5" t="inlineStr">
        <x:is>
          <x:t xml:space="preserve">Q1–Q12 / UC-01..09</x:t>
        </x:is>
      </x:c>
    </x:row>
    <x:row r="10" ht="62" customHeight="1">
      <x:c r="A10" s="6" t="inlineStr">
        <x:is>
          <x:t xml:space="preserve">FR-07</x:t>
        </x:is>
      </x:c>
      <x:c r="B10" s="6" t="inlineStr">
        <x:is>
          <x:t xml:space="preserve">Functional</x:t>
        </x:is>
      </x:c>
      <x:c r="C10" s="5" t="inlineStr">
        <x:is>
          <x:t xml:space="preserve">Recover and reconcile after interruption.</x:t>
        </x:is>
      </x:c>
      <x:c r="D10" s="5" t="inlineStr">
        <x:is>
          <x:t xml:space="preserve">Unresolved transaction reconciled before issue/retry.</x:t>
        </x:is>
      </x:c>
      <x:c r="E10" s="5" t="inlineStr">
        <x:is>
          <x:t xml:space="preserve">Must</x:t>
        </x:is>
      </x:c>
      <x:c r="F10" s="5" t="inlineStr">
        <x:is>
          <x:t xml:space="preserve">Q1–Q12 / UC-01..09</x:t>
        </x:is>
      </x:c>
    </x:row>
    <x:row r="11" ht="62" customHeight="1">
      <x:c r="A11" s="7" t="inlineStr">
        <x:is>
          <x:t xml:space="preserve">FR-08</x:t>
        </x:is>
      </x:c>
      <x:c r="B11" s="7" t="inlineStr">
        <x:is>
          <x:t xml:space="preserve">Functional</x:t>
        </x:is>
      </x:c>
      <x:c r="C11" s="5" t="inlineStr">
        <x:is>
          <x:t xml:space="preserve">Expose operator diagnostics and kiosk out-of-service status.</x:t>
        </x:is>
      </x:c>
      <x:c r="D11" s="5" t="inlineStr">
        <x:is>
          <x:t xml:space="preserve">Timestamped fault visible to monitoring.</x:t>
        </x:is>
      </x:c>
      <x:c r="E11" s="5" t="inlineStr">
        <x:is>
          <x:t xml:space="preserve">Must</x:t>
        </x:is>
      </x:c>
      <x:c r="F11" s="5" t="inlineStr">
        <x:is>
          <x:t xml:space="preserve">Q1–Q12 / UC-01..09</x:t>
        </x:is>
      </x:c>
    </x:row>
    <x:row r="12" ht="62" customHeight="1">
      <x:c r="A12" s="6" t="inlineStr">
        <x:is>
          <x:t xml:space="preserve">NFR-01</x:t>
        </x:is>
      </x:c>
      <x:c r="B12" s="6" t="inlineStr">
        <x:is>
          <x:t xml:space="preserve">Reliability</x:t>
        </x:is>
      </x:c>
      <x:c r="C12" s="5" t="inlineStr">
        <x:is>
          <x:t xml:space="preserve">Monthly service availability excluding planned maintenance.</x:t>
        </x:is>
      </x:c>
      <x:c r="D12" s="5" t="inlineStr">
        <x:is>
          <x:t xml:space="preserve">&gt;=99.5%; available scheduled minutes / total scheduled minutes.</x:t>
        </x:is>
      </x:c>
      <x:c r="E12" s="5" t="inlineStr">
        <x:is>
          <x:t xml:space="preserve">Must</x:t>
        </x:is>
      </x:c>
      <x:c r="F12" s="5" t="inlineStr">
        <x:is>
          <x:t xml:space="preserve">Q1–Q12 / UC-01..09</x:t>
        </x:is>
      </x:c>
    </x:row>
    <x:row r="13" ht="62" customHeight="1">
      <x:c r="A13" s="7" t="inlineStr">
        <x:is>
          <x:t xml:space="preserve">NFR-02</x:t>
        </x:is>
      </x:c>
      <x:c r="B13" s="7" t="inlineStr">
        <x:is>
          <x:t xml:space="preserve">Performance</x:t>
        </x:is>
      </x:c>
      <x:c r="C13" s="5" t="inlineStr">
        <x:is>
          <x:t xml:space="preserve">Local input and screen transition.</x:t>
        </x:is>
      </x:c>
      <x:c r="D13" s="5" t="inlineStr">
        <x:is>
          <x:t xml:space="preserve">p95 &lt;=1 second; p99 &lt;=2 seconds.</x:t>
        </x:is>
      </x:c>
      <x:c r="E13" s="5" t="inlineStr">
        <x:is>
          <x:t xml:space="preserve">Must</x:t>
        </x:is>
      </x:c>
      <x:c r="F13" s="5" t="inlineStr">
        <x:is>
          <x:t xml:space="preserve">Q1–Q12 / UC-01..09</x:t>
        </x:is>
      </x:c>
    </x:row>
    <x:row r="14" ht="62" customHeight="1">
      <x:c r="A14" s="6" t="inlineStr">
        <x:is>
          <x:t xml:space="preserve">NFR-03</x:t>
        </x:is>
      </x:c>
      <x:c r="B14" s="6" t="inlineStr">
        <x:is>
          <x:t xml:space="preserve">Performance</x:t>
        </x:is>
      </x:c>
      <x:c r="C14" s="5" t="inlineStr">
        <x:is>
          <x:t xml:space="preserve">Route/fare catalogue load.</x:t>
        </x:is>
      </x:c>
      <x:c r="D14" s="5" t="inlineStr">
        <x:is>
          <x:t xml:space="preserve">p95 &lt;=2 seconds; cached data timestamped, max age 24 hours.</x:t>
        </x:is>
      </x:c>
      <x:c r="E14" s="5" t="inlineStr">
        <x:is>
          <x:t xml:space="preserve">Must</x:t>
        </x:is>
      </x:c>
      <x:c r="F14" s="5" t="inlineStr">
        <x:is>
          <x:t xml:space="preserve">Q1–Q12 / UC-01..09</x:t>
        </x:is>
      </x:c>
    </x:row>
    <x:row r="15" ht="62" customHeight="1">
      <x:c r="A15" s="7" t="inlineStr">
        <x:is>
          <x:t xml:space="preserve">NFR-04</x:t>
        </x:is>
      </x:c>
      <x:c r="B15" s="7" t="inlineStr">
        <x:is>
          <x:t xml:space="preserve">Performance</x:t>
        </x:is>
      </x:c>
      <x:c r="C15" s="5" t="inlineStr">
        <x:is>
          <x:t xml:space="preserve">Payment completion or safe timeout.</x:t>
        </x:is>
      </x:c>
      <x:c r="D15" s="5" t="inlineStr">
        <x:is>
          <x:t xml:space="preserve">95% &lt;=8 seconds; timeout at 15 seconds; reconcile unknown result.</x:t>
        </x:is>
      </x:c>
      <x:c r="E15" s="5" t="inlineStr">
        <x:is>
          <x:t xml:space="preserve">Must</x:t>
        </x:is>
      </x:c>
      <x:c r="F15" s="5" t="inlineStr">
        <x:is>
          <x:t xml:space="preserve">Q1–Q12 / UC-01..09</x:t>
        </x:is>
      </x:c>
    </x:row>
    <x:row r="16" ht="62" customHeight="1">
      <x:c r="A16" s="6" t="inlineStr">
        <x:is>
          <x:t xml:space="preserve">NFR-05</x:t>
        </x:is>
      </x:c>
      <x:c r="B16" s="6" t="inlineStr">
        <x:is>
          <x:t xml:space="preserve">Reliability</x:t>
        </x:is>
      </x:c>
      <x:c r="C16" s="5" t="inlineStr">
        <x:is>
          <x:t xml:space="preserve">Print after confirmed authorization.</x:t>
        </x:is>
      </x:c>
      <x:c r="D16" s="5" t="inlineStr">
        <x:is>
          <x:t xml:space="preserve">Print starts &lt;=2 seconds; failure initiates alert and compensation.</x:t>
        </x:is>
      </x:c>
      <x:c r="E16" s="5" t="inlineStr">
        <x:is>
          <x:t xml:space="preserve">Must</x:t>
        </x:is>
      </x:c>
      <x:c r="F16" s="5" t="inlineStr">
        <x:is>
          <x:t xml:space="preserve">Q1–Q12 / UC-01..09</x:t>
        </x:is>
      </x:c>
    </x:row>
    <x:row r="17" ht="62" customHeight="1">
      <x:c r="A17" s="7" t="inlineStr">
        <x:is>
          <x:t xml:space="preserve">NFR-06</x:t>
        </x:is>
      </x:c>
      <x:c r="B17" s="7" t="inlineStr">
        <x:is>
          <x:t xml:space="preserve">Security</x:t>
        </x:is>
      </x:c>
      <x:c r="C17" s="5" t="inlineStr">
        <x:is>
          <x:t xml:space="preserve">Protect payment and service data.</x:t>
        </x:is>
      </x:c>
      <x:c r="D17" s="5" t="inlineStr">
        <x:is>
          <x:t xml:space="preserve">TLS 1.2+, encrypted secrets, least privilege, no PAN/CVV, signed callbacks.</x:t>
        </x:is>
      </x:c>
      <x:c r="E17" s="5" t="inlineStr">
        <x:is>
          <x:t xml:space="preserve">Must</x:t>
        </x:is>
      </x:c>
      <x:c r="F17" s="5" t="inlineStr">
        <x:is>
          <x:t xml:space="preserve">Q1–Q12 / UC-01..09</x:t>
        </x:is>
      </x:c>
    </x:row>
    <x:row r="18" ht="62" customHeight="1">
      <x:c r="A18" s="6" t="inlineStr">
        <x:is>
          <x:t xml:space="preserve">NFR-07</x:t>
        </x:is>
      </x:c>
      <x:c r="B18" s="6" t="inlineStr">
        <x:is>
          <x:t xml:space="preserve">Accessibility</x:t>
        </x:is>
      </x:c>
      <x:c r="C18" s="5" t="inlineStr">
        <x:is>
          <x:t xml:space="preserve">Support public touchscreen use.</x:t>
        </x:is>
      </x:c>
      <x:c r="D18" s="5" t="inlineStr">
        <x:is>
          <x:t xml:space="preserve">Large targets &gt;=44 px, readable contrast, bilingual UI, timeout extension.</x:t>
        </x:is>
      </x:c>
      <x:c r="E18" s="5" t="inlineStr">
        <x:is>
          <x:t xml:space="preserve">Must</x:t>
        </x:is>
      </x:c>
      <x:c r="F18" s="5" t="inlineStr">
        <x:is>
          <x:t xml:space="preserve">Q1–Q12 / UC-01..09</x:t>
        </x:is>
      </x:c>
    </x:row>
    <x:row r="19" ht="62" customHeight="1">
      <x:c r="A19" s="7" t="inlineStr">
        <x:is>
          <x:t xml:space="preserve">NFR-08</x:t>
        </x:is>
      </x:c>
      <x:c r="B19" s="7" t="inlineStr">
        <x:is>
          <x:t xml:space="preserve">Maintainability</x:t>
        </x:is>
      </x:c>
      <x:c r="C19" s="5" t="inlineStr">
        <x:is>
          <x:t xml:space="preserve">Isolate routes, gateways, persistence, and printer.</x:t>
        </x:is>
      </x:c>
      <x:c r="D19" s="5" t="inlineStr">
        <x:is>
          <x:t xml:space="preserve">Ports/adapters, structured logs, documented config, automated tests.</x:t>
        </x:is>
      </x:c>
      <x:c r="E19" s="5" t="inlineStr">
        <x:is>
          <x:t xml:space="preserve">Must</x:t>
        </x:is>
      </x:c>
      <x:c r="F19" s="5" t="inlineStr">
        <x:is>
          <x:t xml:space="preserve">Q1–Q12 / UC-01..09</x:t>
        </x:is>
      </x:c>
    </x:row>
    <x:row r="20" ht="62" customHeight="1">
      <x:c r="A20" s="6" t="inlineStr">
        <x:is>
          <x:t xml:space="preserve">DR-01</x:t>
        </x:is>
      </x:c>
      <x:c r="B20" s="6" t="inlineStr">
        <x:is>
          <x:t xml:space="preserve">Domain</x:t>
        </x:is>
      </x:c>
      <x:c r="C20" s="5" t="inlineStr">
        <x:is>
          <x:t xml:space="preserve">At most one ticket per confirmed payment.</x:t>
        </x:is>
      </x:c>
      <x:c r="D20" s="5" t="inlineStr">
        <x:is>
          <x:t xml:space="preserve">Duplicate callbacks and ticket issue are idempotent.</x:t>
        </x:is>
      </x:c>
      <x:c r="E20" s="5" t="inlineStr">
        <x:is>
          <x:t xml:space="preserve">Must</x:t>
        </x:is>
      </x:c>
      <x:c r="F20" s="5" t="inlineStr">
        <x:is>
          <x:t xml:space="preserve">Q3/Q4/Q10 / UC-01</x:t>
        </x:is>
      </x:c>
    </x:row>
    <x:row r="21" ht="62" customHeight="1">
      <x:c r="A21" s="7" t="inlineStr">
        <x:is>
          <x:t xml:space="preserve">DR-02</x:t>
        </x:is>
      </x:c>
      <x:c r="B21" s="7" t="inlineStr">
        <x:is>
          <x:t xml:space="preserve">Domain</x:t>
        </x:is>
      </x:c>
      <x:c r="C21" s="5" t="inlineStr">
        <x:is>
          <x:t xml:space="preserve">The active route fare is captured once.</x:t>
        </x:is>
      </x:c>
      <x:c r="D21" s="5" t="inlineStr">
        <x:is>
          <x:t xml:space="preserve">Immutable FareSnapshot.</x:t>
        </x:is>
      </x:c>
      <x:c r="E21" s="5" t="inlineStr">
        <x:is>
          <x:t xml:space="preserve">Must</x:t>
        </x:is>
      </x:c>
      <x:c r="F21" s="5" t="inlineStr">
        <x:is>
          <x:t xml:space="preserve">Q3/Q4/Q10 / UC-01</x:t>
        </x:is>
      </x:c>
    </x:row>
    <x:row r="22" ht="62" customHeight="1">
      <x:c r="A22" s="6" t="inlineStr">
        <x:is>
          <x:t xml:space="preserve">DR-03</x:t>
        </x:is>
      </x:c>
      <x:c r="B22" s="6" t="inlineStr">
        <x:is>
          <x:t xml:space="preserve">Domain</x:t>
        </x:is>
      </x:c>
      <x:c r="C22" s="5" t="inlineStr">
        <x:is>
          <x:t xml:space="preserve">Payment references and barcodes are unique.</x:t>
        </x:is>
      </x:c>
      <x:c r="D22" s="5" t="inlineStr">
        <x:is>
          <x:t xml:space="preserve">SQL UNIQUE constraints and same-reference retry.</x:t>
        </x:is>
      </x:c>
      <x:c r="E22" s="5" t="inlineStr">
        <x:is>
          <x:t xml:space="preserve">Must</x:t>
        </x:is>
      </x:c>
      <x:c r="F22" s="5" t="inlineStr">
        <x:is>
          <x:t xml:space="preserve">Q3/Q4/Q10 / UC-01</x:t>
        </x:is>
      </x:c>
    </x:row>
    <x:row r="23" ht="62" customHeight="1">
      <x:c r="A23" s="7" t="inlineStr">
        <x:is>
          <x:t xml:space="preserve">DR-04</x:t>
        </x:is>
      </x:c>
      <x:c r="B23" s="7" t="inlineStr">
        <x:is>
          <x:t xml:space="preserve">Domain</x:t>
        </x:is>
      </x:c>
      <x:c r="C23" s="5" t="inlineStr">
        <x:is>
          <x:t xml:space="preserve">Ticket QR uses an opaque ID and service-day validity.</x:t>
        </x:is>
      </x:c>
      <x:c r="D23" s="5" t="inlineStr">
        <x:is>
          <x:t xml:space="preserve">No personal data; expiry displayed.</x:t>
        </x:is>
      </x:c>
      <x:c r="E23" s="5" t="inlineStr">
        <x:is>
          <x:t xml:space="preserve">Must</x:t>
        </x:is>
      </x:c>
      <x:c r="F23" s="5" t="inlineStr">
        <x:is>
          <x:t xml:space="preserve">Q3/Q4/Q10 / UC-01</x:t>
        </x:is>
      </x:c>
    </x:row>
    <x:row r="24" ht="62" customHeight="1">
      <x:c r="A24" s="6" t="inlineStr">
        <x:is>
          <x:t xml:space="preserve">DR-05</x:t>
        </x:is>
      </x:c>
      <x:c r="B24" s="6" t="inlineStr">
        <x:is>
          <x:t xml:space="preserve">Domain</x:t>
        </x:is>
      </x:c>
      <x:c r="C24" s="5" t="inlineStr">
        <x:is>
          <x:t xml:space="preserve">Unknown payments reconcile before a new attempt.</x:t>
        </x:is>
      </x:c>
      <x:c r="D24" s="5" t="inlineStr">
        <x:is>
          <x:t xml:space="preserve">Unknown state cannot be silently cancelled.</x:t>
        </x:is>
      </x:c>
      <x:c r="E24" s="5" t="inlineStr">
        <x:is>
          <x:t xml:space="preserve">Must</x:t>
        </x:is>
      </x:c>
      <x:c r="F24" s="5" t="inlineStr">
        <x:is>
          <x:t xml:space="preserve">Q3/Q4/Q10 / UC-01</x:t>
        </x:is>
      </x:c>
    </x:row>
    <x:row r="25" ht="62" customHeight="1">
      <x:c r="A25" s="7" t="inlineStr">
        <x:is>
          <x:t xml:space="preserve">DR-06</x:t>
        </x:is>
      </x:c>
      <x:c r="B25" s="7" t="inlineStr">
        <x:is>
          <x:t xml:space="preserve">Domain</x:t>
        </x:is>
      </x:c>
      <x:c r="C25" s="5" t="inlineStr">
        <x:is>
          <x:t xml:space="preserve">Payment QR binds transaction, amount and method and expires.</x:t>
        </x:is>
      </x:c>
      <x:c r="D25" s="5" t="inlineStr">
        <x:is>
          <x:t xml:space="preserve">Demo QR expires after three minutes.</x:t>
        </x:is>
      </x:c>
      <x:c r="E25" s="5" t="inlineStr">
        <x:is>
          <x:t xml:space="preserve">Must</x:t>
        </x:is>
      </x:c>
      <x:c r="F25" s="5" t="inlineStr">
        <x:is>
          <x:t xml:space="preserve">Q3/Q4/Q10 / UC-01</x:t>
        </x:is>
      </x:c>
    </x:row>
    <x:row r="26" ht="62" customHeight="1">
      <x:c r="A26" s="6" t="inlineStr">
        <x:is>
          <x:t xml:space="preserve">DR-07</x:t>
        </x:is>
      </x:c>
      <x:c r="B26" s="6" t="inlineStr">
        <x:is>
          <x:t xml:space="preserve">Domain</x:t>
        </x:is>
      </x:c>
      <x:c r="C26" s="5" t="inlineStr">
        <x:is>
          <x:t xml:space="preserve">Printer failure requires compensation.</x:t>
        </x:is>
      </x:c>
      <x:c r="D26" s="5" t="inlineStr">
        <x:is>
          <x:t xml:space="preserve">Same-ticket reprint or recorded simulated refund.</x:t>
        </x:is>
      </x:c>
      <x:c r="E26" s="5" t="inlineStr">
        <x:is>
          <x:t xml:space="preserve">Must</x:t>
        </x:is>
      </x:c>
      <x:c r="F26" s="5" t="inlineStr">
        <x:is>
          <x:t xml:space="preserve">Q3/Q4/Q10 / UC-01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0" customWidth="1"/>
    <x:col min="2" max="2" width="45" customWidth="1"/>
    <x:col min="3" max="3" width="70" customWidth="1"/>
    <x:col min="4" max="4" width="70" customWidth="1"/>
    <x:col min="5" max="5" width="48" customWidth="1"/>
    <x:col min="6" max="6" width="28" customWidth="1"/>
  </x:cols>
  <x:sheetData>
    <x:row r="1" ht="30" customHeight="1">
      <x:c r="A1" s="1" t="inlineStr">
        <x:is>
          <x:t xml:space="preserve">Use Cases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3" t="n"/>
      <x:c r="E2" s="3" t="n"/>
      <x:c r="F2" s="2" t="n"/>
    </x:row>
    <x:row r="3">
      <x:c r="A3" s="4" t="inlineStr">
        <x:is>
          <x:t xml:space="preserve">Use case</x:t>
        </x:is>
      </x:c>
      <x:c r="B3" s="4" t="inlineStr">
        <x:is>
          <x:t xml:space="preserve">Preconditions</x:t>
        </x:is>
      </x:c>
      <x:c r="C3" s="4" t="inlineStr">
        <x:is>
          <x:t xml:space="preserve">Main flow</x:t>
        </x:is>
      </x:c>
      <x:c r="D3" s="4" t="inlineStr">
        <x:is>
          <x:t xml:space="preserve">Alternate / exception</x:t>
        </x:is>
      </x:c>
      <x:c r="E3" s="4" t="inlineStr">
        <x:is>
          <x:t xml:space="preserve">Postcondition</x:t>
        </x:is>
      </x:c>
      <x:c r="F3" s="4" t="inlineStr">
        <x:is>
          <x:t xml:space="preserve">Owner</x:t>
        </x:is>
      </x:c>
    </x:row>
    <x:row r="4" ht="62" customHeight="1">
      <x:c r="A4" s="6" t="inlineStr">
        <x:is>
          <x:t xml:space="preserve">UC-01 Buy ticket</x:t>
        </x:is>
      </x:c>
      <x:c r="B4" s="6" t="inlineStr">
        <x:is>
          <x:t xml:space="preserve">Kiosk ready, route data and printer available.</x:t>
        </x:is>
      </x:c>
      <x:c r="C4" s="6" t="inlineStr">
        <x:is>
          <x:t xml:space="preserve">Start; select route; confirm fare; choose method; authorize; persist; print; show receipt.</x:t>
        </x:is>
      </x:c>
      <x:c r="D4" s="6" t="inlineStr">
        <x:is>
          <x:t xml:space="preserve">Decline allows retry; timeout requires reconciliation; print fault creates compensation case.</x:t>
        </x:is>
      </x:c>
      <x:c r="E4" s="6" t="inlineStr">
        <x:is>
          <x:t xml:space="preserve">At most one delivered ticket for a paid transaction.</x:t>
        </x:is>
      </x:c>
      <x:c r="F4" s="5" t="n"/>
    </x:row>
    <x:row r="5" ht="62" customHeight="1">
      <x:c r="A5" s="7" t="inlineStr">
        <x:is>
          <x:t xml:space="preserve">UC-02 Pay by card</x:t>
        </x:is>
      </x:c>
      <x:c r="B5" s="7" t="inlineStr">
        <x:is>
          <x:t xml:space="preserve">Route and fare confirmed.</x:t>
        </x:is>
      </x:c>
      <x:c r="C5" s="7" t="inlineStr">
        <x:is>
          <x:t xml:space="preserve">Prompt tap or insert; send tokenized authorization; verify outcome.</x:t>
        </x:is>
      </x:c>
      <x:c r="D5" s="7" t="inlineStr">
        <x:is>
          <x:t xml:space="preserve">Decline, cancel, or timeout returns a safe status.</x:t>
        </x:is>
      </x:c>
      <x:c r="E5" s="7" t="inlineStr">
        <x:is>
          <x:t xml:space="preserve">Payment reference linked to transaction.</x:t>
        </x:is>
      </x:c>
      <x:c r="F5" s="5" t="n"/>
    </x:row>
    <x:row r="6" ht="62" customHeight="1">
      <x:c r="A6" s="6" t="inlineStr">
        <x:is>
          <x:t xml:space="preserve">UC-03 Pay by bank / wallet QR</x:t>
        </x:is>
      </x:c>
      <x:c r="B6" s="6" t="inlineStr">
        <x:is>
          <x:t xml:space="preserve">Route and fare confirmed.</x:t>
        </x:is>
      </x:c>
      <x:c r="C6" s="6" t="inlineStr">
        <x:is>
          <x:t xml:space="preserve">Create expiring amount-bound QR; display; await signed callback.</x:t>
        </x:is>
      </x:c>
      <x:c r="D6" s="6" t="inlineStr">
        <x:is>
          <x:t xml:space="preserve">Expiry or cancellation invalidates QR; late callback requires reconciliation.</x:t>
        </x:is>
      </x:c>
      <x:c r="E6" s="6" t="inlineStr">
        <x:is>
          <x:t xml:space="preserve">A confirmed capture or no issued ticket.</x:t>
        </x:is>
      </x:c>
      <x:c r="F6" s="5" t="n"/>
    </x:row>
    <x:row r="7" ht="62" customHeight="1">
      <x:c r="A7" s="7" t="inlineStr">
        <x:is>
          <x:t xml:space="preserve">UC-04 Diagnose kiosk</x:t>
        </x:is>
      </x:c>
      <x:c r="B7" s="7" t="inlineStr">
        <x:is>
          <x:t xml:space="preserve">Authenticated operator and service mode.</x:t>
        </x:is>
      </x:c>
      <x:c r="C7" s="7" t="inlineStr">
        <x:is>
          <x:t xml:space="preserve">Check printer, network, gateway, and recent faults.</x:t>
        </x:is>
      </x:c>
      <x:c r="D7" s="7" t="inlineStr">
        <x:is>
          <x:t xml:space="preserve">Failed self-test sets out-of-service state.</x:t>
        </x:is>
      </x:c>
      <x:c r="E7" s="7" t="inlineStr">
        <x:is>
          <x:t xml:space="preserve">Audited diagnostic event.</x:t>
        </x:is>
      </x:c>
      <x:c r="F7" s="5" t="n"/>
    </x:row>
    <x:row r="8" ht="62" customHeight="1">
      <x:c r="A8" s="6" t="inlineStr">
        <x:is>
          <x:t xml:space="preserve">UC-05 Reconcile transaction</x:t>
        </x:is>
      </x:c>
      <x:c r="B8" s="6" t="inlineStr">
        <x:is>
          <x:t xml:space="preserve">Payment result unknown or print compensation pending.</x:t>
        </x:is>
      </x:c>
      <x:c r="C8" s="6" t="inlineStr">
        <x:is>
          <x:t xml:space="preserve">Query gateway; compare capture; retry print or refund.</x:t>
        </x:is>
      </x:c>
      <x:c r="D8" s="6" t="inlineStr">
        <x:is>
          <x:t xml:space="preserve">Gateway unavailable remains queued.</x:t>
        </x:is>
      </x:c>
      <x:c r="E8" s="6" t="inlineStr">
        <x:is>
          <x:t xml:space="preserve">No duplicate charge or ticket.</x:t>
        </x:is>
      </x:c>
      <x:c r="F8" s="5" t="n"/>
    </x:row>
    <x:row r="9" ht="62" customHeight="1">
      <x:c r="A9" s="7" t="inlineStr">
        <x:is>
          <x:t xml:space="preserve">UC-06 Select destination</x:t>
        </x:is>
      </x:c>
      <x:c r="B9" s="7" t="inlineStr">
        <x:is>
          <x:t xml:space="preserve">Active fare catalogue available.</x:t>
        </x:is>
      </x:c>
      <x:c r="C9" s="7" t="inlineStr">
        <x:is>
          <x:t xml:space="preserve">Show active routes; select destination and fare snapshot.</x:t>
        </x:is>
      </x:c>
      <x:c r="D9" s="7" t="inlineStr">
        <x:is>
          <x:t xml:space="preserve">Missing or stale catalogue shows unavailable guidance.</x:t>
        </x:is>
      </x:c>
      <x:c r="E9" s="7" t="inlineStr">
        <x:is>
          <x:t xml:space="preserve">Valid route and fare assigned.</x:t>
        </x:is>
      </x:c>
      <x:c r="F9" s="5" t="n"/>
    </x:row>
    <x:row r="10" ht="62" customHeight="1">
      <x:c r="A10" s="6" t="inlineStr">
        <x:is>
          <x:t xml:space="preserve">UC-07 Choose payment</x:t>
        </x:is>
      </x:c>
      <x:c r="B10" s="6" t="inlineStr">
        <x:is>
          <x:t xml:space="preserve">Route and fare confirmed.</x:t>
        </x:is>
      </x:c>
      <x:c r="C10" s="6" t="inlineStr">
        <x:is>
          <x:t xml:space="preserve">Choose card, bank QR, or wallet.</x:t>
        </x:is>
      </x:c>
      <x:c r="D10" s="6" t="inlineStr">
        <x:is>
          <x:t xml:space="preserve">Cancel or timeout discards pending selection.</x:t>
        </x:is>
      </x:c>
      <x:c r="E10" s="6" t="inlineStr">
        <x:is>
          <x:t xml:space="preserve">One method set for the attempt.</x:t>
        </x:is>
      </x:c>
      <x:c r="F10" s="5" t="n"/>
    </x:row>
    <x:row r="11" ht="62" customHeight="1">
      <x:c r="A11" s="7" t="inlineStr">
        <x:is>
          <x:t xml:space="preserve">UC-08 Print ticket</x:t>
        </x:is>
      </x:c>
      <x:c r="B11" s="7" t="inlineStr">
        <x:is>
          <x:t xml:space="preserve">Confirmed payment and working printer.</x:t>
        </x:is>
      </x:c>
      <x:c r="C11" s="7" t="inlineStr">
        <x:is>
          <x:t xml:space="preserve">Generate unique opaque barcode; print route, fare, validity, and barcode.</x:t>
        </x:is>
      </x:c>
      <x:c r="D11" s="7" t="inlineStr">
        <x:is>
          <x:t xml:space="preserve">Printer fault creates reprint or refund case.</x:t>
        </x:is>
      </x:c>
      <x:c r="E11" s="7" t="inlineStr">
        <x:is>
          <x:t xml:space="preserve">Ticket linked to one paid transaction.</x:t>
        </x:is>
      </x:c>
      <x:c r="F11" s="5" t="n"/>
    </x:row>
    <x:row r="12" ht="62" customHeight="1">
      <x:c r="A12" s="6" t="inlineStr">
        <x:is>
          <x:t xml:space="preserve">UC-09 View receipt</x:t>
        </x:is>
      </x:c>
      <x:c r="B12" s="6" t="inlineStr">
        <x:is>
          <x:t xml:space="preserve">Payment and print results known.</x:t>
        </x:is>
      </x:c>
      <x:c r="C12" s="6" t="inlineStr">
        <x:is>
          <x:t xml:space="preserve">Show route, fare, time, reference, and support guidance.</x:t>
        </x:is>
      </x:c>
      <x:c r="D12" s="6" t="inlineStr">
        <x:is>
          <x:t xml:space="preserve">Unknown payment shows pending guidance, not success.</x:t>
        </x:is>
      </x:c>
      <x:c r="E12" s="6" t="inlineStr">
        <x:is>
          <x:t xml:space="preserve">Passenger can identify transaction for support.</x:t>
        </x:is>
      </x:c>
      <x:c r="F12" s="5" t="n"/>
    </x:row>
  </x:sheetData>
  <x:mergeCells>
    <x:mergeCell ref="A2:F2"/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0" customWidth="1"/>
    <x:col min="2" max="2" width="55" customWidth="1"/>
    <x:col min="3" max="3" width="25" customWidth="1"/>
    <x:col min="4" max="4" width="48" customWidth="1"/>
    <x:col min="5" max="5" width="28" customWidth="1"/>
    <x:col min="6" max="6" width="18" customWidth="1"/>
  </x:cols>
  <x:sheetData>
    <x:row r="1" ht="30" customHeight="1">
      <x:c r="A1" s="1" t="inlineStr">
        <x:is>
          <x:t xml:space="preserve">Artifact Tracker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3" t="n"/>
      <x:c r="E2" s="2" t="n"/>
      <x:c r="F2" s="2" t="n"/>
    </x:row>
    <x:row r="3">
      <x:c r="A3" s="4" t="inlineStr">
        <x:is>
          <x:t xml:space="preserve">Artifact</x:t>
        </x:is>
      </x:c>
      <x:c r="B3" s="4" t="inlineStr">
        <x:is>
          <x:t xml:space="preserve">Path</x:t>
        </x:is>
      </x:c>
      <x:c r="C3" s="4" t="inlineStr">
        <x:is>
          <x:t xml:space="preserve">Tool</x:t>
        </x:is>
      </x:c>
      <x:c r="D3" s="4" t="inlineStr">
        <x:is>
          <x:t xml:space="preserve">Status</x:t>
        </x:is>
      </x:c>
      <x:c r="E3" s="4" t="inlineStr">
        <x:is>
          <x:t xml:space="preserve">Owner</x:t>
        </x:is>
      </x:c>
      <x:c r="F3" s="4" t="inlineStr">
        <x:is>
          <x:t xml:space="preserve">Completion %</x:t>
        </x:is>
      </x:c>
    </x:row>
    <x:row r="4" ht="62" customHeight="1">
      <x:c r="A4" s="6" t="inlineStr">
        <x:is>
          <x:t xml:space="preserve">Q&amp;A/requirements</x:t>
        </x:is>
      </x:c>
      <x:c r="B4" s="6" t="inlineStr">
        <x:is>
          <x:t xml:space="preserve">A1_Team_Workbook.xlsx</x:t>
        </x:is>
      </x:c>
      <x:c r="C4" s="6" t="inlineStr">
        <x:is>
          <x:t xml:space="preserve">Excel</x:t>
        </x:is>
      </x:c>
      <x:c r="D4" s="6" t="inlineStr">
        <x:is>
          <x:t xml:space="preserve">Verified</x:t>
        </x:is>
      </x:c>
      <x:c r="E4" s="5" t="n"/>
      <x:c r="F4" s="5" t="n">
        <x:v>100</x:v>
      </x:c>
    </x:row>
    <x:row r="5" ht="62" customHeight="1">
      <x:c r="A5" s="7" t="inlineStr">
        <x:is>
          <x:t xml:space="preserve">Use case/activity diagrams</x:t>
        </x:is>
      </x:c>
      <x:c r="B5" s="7" t="inlineStr">
        <x:is>
          <x:t xml:space="preserve">docs/diagrams</x:t>
        </x:is>
      </x:c>
      <x:c r="C5" s="7" t="inlineStr">
        <x:is>
          <x:t xml:space="preserve">DOT + PNG</x:t>
        </x:is>
      </x:c>
      <x:c r="D5" s="7" t="inlineStr">
        <x:is>
          <x:t xml:space="preserve">Reviewed</x:t>
        </x:is>
      </x:c>
      <x:c r="E5" s="5" t="n"/>
      <x:c r="F5" s="5" t="n">
        <x:v>100</x:v>
      </x:c>
    </x:row>
    <x:row r="6" ht="62" customHeight="1">
      <x:c r="A6" s="6" t="inlineStr">
        <x:is>
          <x:t xml:space="preserve">Sequence/state/class</x:t>
        </x:is>
      </x:c>
      <x:c r="B6" s="6" t="inlineStr">
        <x:is>
          <x:t xml:space="preserve">docs/diagrams</x:t>
        </x:is>
      </x:c>
      <x:c r="C6" s="6" t="inlineStr">
        <x:is>
          <x:t xml:space="preserve">DOT / Python</x:t>
        </x:is>
      </x:c>
      <x:c r="D6" s="6" t="inlineStr">
        <x:is>
          <x:t xml:space="preserve">Reviewed</x:t>
        </x:is>
      </x:c>
      <x:c r="E6" s="5" t="n"/>
      <x:c r="F6" s="5" t="n">
        <x:v>100</x:v>
      </x:c>
    </x:row>
    <x:row r="7" ht="62" customHeight="1">
      <x:c r="A7" s="7" t="inlineStr">
        <x:is>
          <x:t xml:space="preserve">UI and architecture</x:t>
        </x:is>
      </x:c>
      <x:c r="B7" s="7" t="inlineStr">
        <x:is>
          <x:t xml:space="preserve">docs/screenshots; diagrams</x:t>
        </x:is>
      </x:c>
      <x:c r="C7" s="7" t="inlineStr">
        <x:is>
          <x:t xml:space="preserve">WinForms</x:t>
        </x:is>
      </x:c>
      <x:c r="D7" s="7" t="inlineStr">
        <x:is>
          <x:t xml:space="preserve">Built and checked</x:t>
        </x:is>
      </x:c>
      <x:c r="E7" s="5" t="n"/>
      <x:c r="F7" s="5" t="n">
        <x:v>100</x:v>
      </x:c>
    </x:row>
    <x:row r="8" ht="62" customHeight="1">
      <x:c r="A8" s="6" t="inlineStr">
        <x:is>
          <x:t xml:space="preserve">Engineering</x:t>
        </x:is>
      </x:c>
      <x:c r="B8" s="6" t="inlineStr">
        <x:is>
          <x:t xml:space="preserve">engineering</x:t>
        </x:is>
      </x:c>
      <x:c r="C8" s="6" t="inlineStr">
        <x:is>
          <x:t xml:space="preserve">JSON / C# / DGML</x:t>
        </x:is>
      </x:c>
      <x:c r="D8" s="6" t="inlineStr">
        <x:is>
          <x:t xml:space="preserve">Actual VS UI capture pending</x:t>
        </x:is>
      </x:c>
      <x:c r="E8" s="5" t="n"/>
      <x:c r="F8" s="5" t="n">
        <x:v>75</x:v>
      </x:c>
    </x:row>
    <x:row r="9" ht="62" customHeight="1">
      <x:c r="A9" s="7" t="inlineStr">
        <x:is>
          <x:t xml:space="preserve">Git collaboration</x:t>
        </x:is>
      </x:c>
      <x:c r="B9" s="7" t="inlineStr">
        <x:is>
          <x:t xml:space="preserve">Real group repository</x:t>
        </x:is>
      </x:c>
      <x:c r="C9" s="7" t="inlineStr">
        <x:is>
          <x:t xml:space="preserve">GitHub</x:t>
        </x:is>
      </x:c>
      <x:c r="D9" s="7" t="inlineStr">
        <x:is>
          <x:t xml:space="preserve">Pending</x:t>
        </x:is>
      </x:c>
      <x:c r="E9" s="5" t="n"/>
      <x:c r="F9" s="5" t="n">
        <x:v>0</x:v>
      </x:c>
    </x:row>
    <x:row r="10" ht="62" customHeight="1">
      <x:c r="A10" s="6" t="inlineStr">
        <x:is>
          <x:t xml:space="preserve">Demo and tests</x:t>
        </x:is>
      </x:c>
      <x:c r="B10" s="6" t="inlineStr">
        <x:is>
          <x:t xml:space="preserve">SmartTicketing.sln</x:t>
        </x:is>
      </x:c>
      <x:c r="C10" s="6" t="inlineStr">
        <x:is>
          <x:t xml:space="preserve">C# / SQL / MSTest</x:t>
        </x:is>
      </x:c>
      <x:c r="D10" s="6" t="str">
        <x:v>21 unit + 5 SQL checks passed</x:v>
      </x:c>
      <x:c r="E10" s="5" t="n"/>
      <x:c r="F10" s="5" t="n">
        <x:v>100</x:v>
      </x:c>
    </x:row>
    <x:row r="11" ht="62" customHeight="1">
      <x:c r="A11" s="7" t="inlineStr">
        <x:is>
          <x:t xml:space="preserve">Report</x:t>
        </x:is>
      </x:c>
      <x:c r="B11" s="7" t="inlineStr">
        <x:is>
          <x:t xml:space="preserve">Report.docx</x:t>
        </x:is>
      </x:c>
      <x:c r="C11" s="7" t="inlineStr">
        <x:is>
          <x:t xml:space="preserve">Word</x:t>
        </x:is>
      </x:c>
      <x:c r="D11" s="7" t="inlineStr">
        <x:is>
          <x:t xml:space="preserve">Generated; group details pending</x:t>
        </x:is>
      </x:c>
      <x:c r="E11" s="5" t="n"/>
      <x:c r="F11" s="5" t="n">
        <x:v>90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42" customWidth="1"/>
    <x:col min="2" max="2" width="65" customWidth="1"/>
    <x:col min="3" max="3" width="22" customWidth="1"/>
    <x:col min="4" max="4" width="28" customWidth="1"/>
    <x:col min="5" max="5" width="45" customWidth="1"/>
  </x:cols>
  <x:sheetData>
    <x:row r="1" ht="30" customHeight="1">
      <x:c r="A1" s="1" t="inlineStr">
        <x:is>
          <x:t xml:space="preserve">Consistency Check | 23 October 2026</x:t>
        </x:is>
      </x:c>
      <x:c r="B1" s="1" t="n"/>
      <x:c r="C1" s="1" t="n"/>
      <x:c r="D1" s="1" t="n"/>
      <x:c r="E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2" t="n"/>
      <x:c r="E2" s="2" t="n"/>
    </x:row>
    <x:row r="3">
      <x:c r="A3" s="4" t="inlineStr">
        <x:is>
          <x:t xml:space="preserve">Cross-check</x:t>
        </x:is>
      </x:c>
      <x:c r="B3" s="4" t="inlineStr">
        <x:is>
          <x:t xml:space="preserve">Evidence</x:t>
        </x:is>
      </x:c>
      <x:c r="C3" s="4" t="inlineStr">
        <x:is>
          <x:t xml:space="preserve">Result</x:t>
        </x:is>
      </x:c>
      <x:c r="D3" s="4" t="inlineStr">
        <x:is>
          <x:t xml:space="preserve">Reviewer</x:t>
        </x:is>
      </x:c>
      <x:c r="E3" s="4" t="inlineStr">
        <x:is>
          <x:t xml:space="preserve">Lecturer feedback</x:t>
        </x:is>
      </x:c>
    </x:row>
    <x:row r="4" ht="62" customHeight="1">
      <x:c r="A4" s="6" t="inlineStr">
        <x:is>
          <x:t xml:space="preserve">Requirements → use cases</x:t>
        </x:is>
      </x:c>
      <x:c r="B4" s="6" t="inlineStr">
        <x:is>
          <x:t xml:space="preserve">FR-01..07 / UC-01..09</x:t>
        </x:is>
      </x:c>
      <x:c r="C4" s="6" t="inlineStr">
        <x:is>
          <x:t xml:space="preserve">Reviewed</x:t>
        </x:is>
      </x:c>
      <x:c r="D4" s="5" t="n"/>
      <x:c r="E4" s="8" t="n"/>
    </x:row>
    <x:row r="5" ht="62" customHeight="1">
      <x:c r="A5" s="7" t="inlineStr">
        <x:is>
          <x:t xml:space="preserve">Class/state/sequence → code</x:t>
        </x:is>
      </x:c>
      <x:c r="B5" s="7" t="inlineStr">
        <x:is>
          <x:t xml:space="preserve">TicketTransaction and TicketStore</x:t>
        </x:is>
      </x:c>
      <x:c r="C5" s="7" t="inlineStr">
        <x:is>
          <x:t xml:space="preserve">Reviewed</x:t>
        </x:is>
      </x:c>
      <x:c r="D5" s="5" t="n"/>
      <x:c r="E5" s="8" t="n"/>
    </x:row>
    <x:row r="6" ht="62" customHeight="1">
      <x:c r="A6" s="6" t="inlineStr">
        <x:is>
          <x:t xml:space="preserve">All payment methods</x:t>
        </x:is>
      </x:c>
      <x:c r="B6" s="6" t="inlineStr">
        <x:is>
          <x:t xml:space="preserve">Card / BankQr / Wallet</x:t>
        </x:is>
      </x:c>
      <x:c r="C6" s="6" t="inlineStr">
        <x:is>
          <x:t xml:space="preserve">Reviewed</x:t>
        </x:is>
      </x:c>
      <x:c r="D6" s="5" t="n"/>
      <x:c r="E6" s="8" t="n"/>
    </x:row>
    <x:row r="7" ht="62" customHeight="1">
      <x:c r="A7" s="7" t="inlineStr">
        <x:is>
          <x:t xml:space="preserve">Unknown state never issues ticket</x:t>
        </x:is>
      </x:c>
      <x:c r="B7" s="7" t="inlineStr">
        <x:is>
          <x:t xml:space="preserve">TicketTransactionTests</x:t>
        </x:is>
      </x:c>
      <x:c r="C7" s="7" t="inlineStr">
        <x:is>
          <x:t xml:space="preserve">Passed</x:t>
        </x:is>
      </x:c>
      <x:c r="D7" s="5" t="n"/>
      <x:c r="E7" s="8" t="n"/>
    </x:row>
    <x:row r="8" ht="62" customHeight="1">
      <x:c r="A8" s="6" t="inlineStr">
        <x:is>
          <x:t xml:space="preserve">Demo and production boundary</x:t>
        </x:is>
      </x:c>
      <x:c r="B8" s="6" t="inlineStr">
        <x:is>
          <x:t xml:space="preserve">Report 4.2; architecture.png</x:t>
        </x:is>
      </x:c>
      <x:c r="C8" s="6" t="inlineStr">
        <x:is>
          <x:t xml:space="preserve">Explicit</x:t>
        </x:is>
      </x:c>
      <x:c r="D8" s="5" t="n"/>
      <x:c r="E8" s="8" t="n"/>
    </x:row>
    <x:row r="9" ht="62" customHeight="1">
      <x:c r="A9" s="7" t="inlineStr">
        <x:is>
          <x:t xml:space="preserve">3–5 members and 100% contribution</x:t>
        </x:is>
      </x:c>
      <x:c r="B9" s="7" t="inlineStr">
        <x:is>
          <x:t xml:space="preserve">Team sheet</x:t>
        </x:is>
      </x:c>
      <x:c r="C9" s="7" t="inlineStr">
        <x:is>
          <x:t xml:space="preserve">Pending</x:t>
        </x:is>
      </x:c>
      <x:c r="D9" s="5" t="n"/>
      <x:c r="E9" s="8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4" customWidth="1"/>
    <x:col min="2" max="2" width="20" customWidth="1"/>
    <x:col min="3" max="3" width="65" customWidth="1"/>
    <x:col min="4" max="4" width="65" customWidth="1"/>
    <x:col min="5" max="5" width="55" customWidth="1"/>
  </x:cols>
  <x:sheetData>
    <x:row r="1" ht="30" customHeight="1">
      <x:c r="A1" s="1" t="inlineStr">
        <x:is>
          <x:t xml:space="preserve">AI Prompt Log | 23 October 2026</x:t>
        </x:is>
      </x:c>
      <x:c r="B1" s="1" t="n"/>
      <x:c r="C1" s="1" t="n"/>
      <x:c r="D1" s="1" t="n"/>
      <x:c r="E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3" t="n"/>
      <x:c r="E2" s="3" t="n"/>
    </x:row>
    <x:row r="3">
      <x:c r="A3" s="4" t="inlineStr">
        <x:is>
          <x:t xml:space="preserve">Date</x:t>
        </x:is>
      </x:c>
      <x:c r="B3" s="4" t="inlineStr">
        <x:is>
          <x:t xml:space="preserve">Tool</x:t>
        </x:is>
      </x:c>
      <x:c r="C3" s="4" t="inlineStr">
        <x:is>
          <x:t xml:space="preserve">Actual prompt summary</x:t>
        </x:is>
      </x:c>
      <x:c r="D3" s="4" t="inlineStr">
        <x:is>
          <x:t xml:space="preserve">Kept / changed</x:t>
        </x:is>
      </x:c>
      <x:c r="E3" s="4" t="inlineStr">
        <x:is>
          <x:t xml:space="preserve">Validation</x:t>
        </x:is>
      </x:c>
    </x:row>
    <x:row r="4" ht="62" customHeight="1">
      <x:c r="A4" s="6" t="inlineStr">
        <x:is>
          <x:t xml:space="preserve">23 October 2026</x:t>
        </x:is>
      </x:c>
      <x:c r="B4" s="6" t="inlineStr">
        <x:is>
          <x:t xml:space="preserve">Codex</x:t>
        </x:is>
      </x:c>
      <x:c r="C4" s="6" t="inlineStr">
        <x:is>
          <x:t xml:space="preserve">Complete PDFs and rubric</x:t>
        </x:is>
      </x:c>
      <x:c r="D4" s="6" t="inlineStr">
        <x:is>
          <x:t xml:space="preserve">Domain, tests, workbooks and reports</x:t>
        </x:is>
      </x:c>
      <x:c r="E4" s="6" t="inlineStr">
        <x:is>
          <x:t xml:space="preserve">Build / MSTest / SQL demo</x:t>
        </x:is>
      </x:c>
    </x:row>
    <x:row r="5" ht="62" customHeight="1">
      <x:c r="A5" s="7" t="inlineStr">
        <x:is>
          <x:t xml:space="preserve">23 October 2026</x:t>
        </x:is>
      </x:c>
      <x:c r="B5" s="7" t="inlineStr">
        <x:is>
          <x:t xml:space="preserve">Codex</x:t>
        </x:is>
      </x:c>
      <x:c r="C5" s="7" t="inlineStr">
        <x:is>
          <x:t xml:space="preserve">Upgrade UI/UX and functional demos</x:t>
        </x:is>
      </x:c>
      <x:c r="D5" s="7" t="inlineStr">
        <x:is>
          <x:t xml:space="preserve">Kiosk states, original design and 30-second media</x:t>
        </x:is>
      </x:c>
      <x:c r="E5" s="7" t="inlineStr">
        <x:is>
          <x:t xml:space="preserve">Native screenshots / browser</x:t>
        </x:is>
      </x:c>
    </x:row>
    <x:row r="6" ht="62" customHeight="1">
      <x:c r="A6" s="6" t="inlineStr">
        <x:is>
          <x:t xml:space="preserve">23 October 2026</x:t>
        </x:is>
      </x:c>
      <x:c r="B6" s="6" t="inlineStr">
        <x:is>
          <x:t xml:space="preserve">image_gen</x:t>
        </x:is>
      </x:c>
      <x:c r="C6" s="6" t="inlineStr">
        <x:is>
          <x:t xml:space="preserve">Joyful MetroGo 3D transit scene</x:t>
        </x:is>
      </x:c>
      <x:c r="D6" s="6" t="inlineStr">
        <x:is>
          <x:t xml:space="preserve">Original artwork; timed motion graphics</x:t>
        </x:is>
      </x:c>
      <x:c r="E6" s="6" t="inlineStr">
        <x:is>
          <x:t xml:space="preserve">Image inspection / metadata</x:t>
        </x:is>
      </x:c>
    </x:row>
    <x:row r="7" ht="70" customHeight="1">
      <x:c r="A7" s="9" t="str">
        <x:v>23 October 2026</x:v>
      </x:c>
      <x:c r="B7" s="9" t="str">
        <x:v>Codex</x:v>
      </x:c>
      <x:c r="C7" s="9" t="str">
        <x:v>Add local AI and flexible palettes</x:v>
      </x:c>
      <x:c r="D7" s="9" t="str">
        <x:v>TF-IDF guidance; read-only recommendations; three themes</x:v>
      </x:c>
      <x:c r="E7" s="9" t="str">
        <x:v>21 A1 / 26 A2 unit tests; browser AI demo</x:v>
      </x:c>
    </x:row>
    <x:row r="8" ht="70" customHeight="1">
      <x:c r="A8" s="9" t="str">
        <x:v>24 October 2026</x:v>
      </x:c>
      <x:c r="B8" s="9" t="str">
        <x:v>Codex</x:v>
      </x:c>
      <x:c r="C8" s="9" t="str">
        <x:v>Verify transactions and printable evidence</x:v>
      </x:c>
      <x:c r="D8" s="9" t="str">
        <x:v>Idempotent ticket SQL harness and clean fixture</x:v>
      </x:c>
      <x:c r="E8" s="9" t="str">
        <x:v>21 unit + 5 SQL checks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5" customWidth="1"/>
    <x:col min="2" max="2" width="48" customWidth="1"/>
    <x:col min="3" max="3" width="20" customWidth="1"/>
    <x:col min="4" max="4" width="40" customWidth="1"/>
    <x:col min="5" max="5" width="65" customWidth="1"/>
    <x:col min="6" max="6" width="80" customWidth="1"/>
  </x:cols>
  <x:sheetData>
    <x:row r="1" ht="30" customHeight="1">
      <x:c r="A1" s="1" t="inlineStr">
        <x:is>
          <x:t xml:space="preserve">Commit Log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2" t="inlineStr">
        <x:is>
          <x:t xml:space="preserve">Verified artifacts and pending team/lecturer evidence are recorded separately.</x:t>
        </x:is>
      </x:c>
      <x:c r="B2" s="2" t="n"/>
      <x:c r="C2" s="2" t="n"/>
      <x:c r="D2" s="2" t="n"/>
      <x:c r="E2" s="2" t="n"/>
      <x:c r="F2" s="2" t="n"/>
    </x:row>
    <x:row r="3">
      <x:c r="A3" s="4" t="inlineStr">
        <x:is>
          <x:t xml:space="preserve">Date / lab</x:t>
        </x:is>
      </x:c>
      <x:c r="B3" s="4" t="inlineStr">
        <x:is>
          <x:t xml:space="preserve">Commit SHA</x:t>
        </x:is>
      </x:c>
      <x:c r="C3" s="4" t="inlineStr">
        <x:is>
          <x:t xml:space="preserve">Student ID</x:t>
        </x:is>
      </x:c>
      <x:c r="D3" s="4" t="inlineStr">
        <x:is>
          <x:t xml:space="preserve">Branch</x:t>
        </x:is>
      </x:c>
      <x:c r="E3" s="4" t="inlineStr">
        <x:is>
          <x:t xml:space="preserve">PR URL</x:t>
        </x:is>
      </x:c>
      <x:c r="F3" s="4" t="inlineStr">
        <x:is>
          <x:t xml:space="preserve">Evidence</x:t>
        </x:is>
      </x:c>
    </x:row>
    <x:row r="4" ht="62" customHeight="1">
      <x:c r="A4" s="5" t="inlineStr">
        <x:is>
          <x:t xml:space="preserve">No entries recorded</x:t>
        </x:is>
      </x:c>
      <x:c r="B4" s="5" t="n"/>
      <x:c r="C4" s="5" t="n"/>
      <x:c r="D4" s="5" t="n"/>
      <x:c r="E4" s="5" t="n"/>
      <x:c r="F4" s="5" t="inlineStr">
        <x:is>
          <x:t xml:space="preserve">Local main has no commits or remote. Add genuine group evidence.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6" customWidth="1"/>
    <x:col min="2" max="2" width="65" customWidth="1"/>
    <x:col min="3" max="3" width="70" customWidth="1"/>
    <x:col min="4" max="4" width="60" customWidth="1"/>
    <x:col min="5" max="5" width="28" customWidth="1"/>
    <x:col min="6" max="6" width="45" customWidth="1"/>
  </x:cols>
  <x:sheetData>
    <x:row r="1" ht="30" customHeight="1">
      <x:c r="A1" s="1" t="inlineStr">
        <x:is>
          <x:t xml:space="preserve">Progress Log | 23 October 2026</x:t>
        </x:is>
      </x:c>
      <x:c r="B1" s="1" t="n"/>
      <x:c r="C1" s="1" t="n"/>
      <x:c r="D1" s="1" t="n"/>
      <x:c r="E1" s="1" t="n"/>
      <x:c r="F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2" t="n"/>
      <x:c r="C2" s="2" t="n"/>
      <x:c r="D2" s="2" t="n"/>
      <x:c r="E2" s="2" t="n"/>
      <x:c r="F2" s="2" t="n"/>
    </x:row>
    <x:row r="3">
      <x:c r="A3" s="4" t="inlineStr">
        <x:is>
          <x:t xml:space="preserve">Date / lab</x:t>
        </x:is>
      </x:c>
      <x:c r="B3" s="4" t="inlineStr">
        <x:is>
          <x:t xml:space="preserve">Plan</x:t>
        </x:is>
      </x:c>
      <x:c r="C3" s="4" t="inlineStr">
        <x:is>
          <x:t xml:space="preserve">Actual work</x:t>
        </x:is>
      </x:c>
      <x:c r="D3" s="4" t="inlineStr">
        <x:is>
          <x:t xml:space="preserve">Evidence</x:t>
        </x:is>
      </x:c>
      <x:c r="E3" s="4" t="inlineStr">
        <x:is>
          <x:t xml:space="preserve">Student</x:t>
        </x:is>
      </x:c>
      <x:c r="F3" s="4" t="inlineStr">
        <x:is>
          <x:t xml:space="preserve">Lecturer feedback</x:t>
        </x:is>
      </x:c>
    </x:row>
    <x:row r="4" ht="62" customHeight="1">
      <x:c r="A4" s="6" t="inlineStr">
        <x:is>
          <x:t xml:space="preserve">23 October 2026</x:t>
        </x:is>
      </x:c>
      <x:c r="B4" s="5" t="inlineStr">
        <x:is>
          <x:t xml:space="preserve">Close rubric gaps and upgrade demos</x:t>
        </x:is>
      </x:c>
      <x:c r="C4" s="5" t="inlineStr">
        <x:is>
          <x:t xml:space="preserve">Built UI, domain rules, tests and documents</x:t>
        </x:is>
      </x:c>
      <x:c r="D4" s="5" t="inlineStr">
        <x:is>
          <x:t xml:space="preserve">docs/evidence and screenshots</x:t>
        </x:is>
      </x:c>
      <x:c r="E4" s="5" t="n"/>
      <x:c r="F4" s="8" t="n"/>
    </x:row>
    <x:row r="5" ht="62" customHeight="1">
      <x:c r="A5" s="7" t="inlineStr">
        <x:is>
          <x:t xml:space="preserve">Lab 7 / Week 1</x:t>
        </x:is>
      </x:c>
      <x:c r="B5" s="5" t="inlineStr">
        <x:is>
          <x:t xml:space="preserve">Record actual team work</x:t>
        </x:is>
      </x:c>
      <x:c r="C5" s="5" t="n"/>
      <x:c r="D5" s="5" t="n"/>
      <x:c r="E5" s="5" t="n"/>
      <x:c r="F5" s="8" t="n"/>
    </x:row>
    <x:row r="6" ht="62" customHeight="1">
      <x:c r="A6" s="6" t="inlineStr">
        <x:is>
          <x:t xml:space="preserve">Lab 8 / Week 2</x:t>
        </x:is>
      </x:c>
      <x:c r="B6" s="5" t="inlineStr">
        <x:is>
          <x:t xml:space="preserve">Record actual team work</x:t>
        </x:is>
      </x:c>
      <x:c r="C6" s="5" t="n"/>
      <x:c r="D6" s="5" t="n"/>
      <x:c r="E6" s="5" t="n"/>
      <x:c r="F6" s="8" t="n"/>
    </x:row>
    <x:row r="7" ht="62" customHeight="1">
      <x:c r="A7" s="7" t="inlineStr">
        <x:is>
          <x:t xml:space="preserve">Lab 9 / Week 3</x:t>
        </x:is>
      </x:c>
      <x:c r="B7" s="5" t="inlineStr">
        <x:is>
          <x:t xml:space="preserve">Record actual team work</x:t>
        </x:is>
      </x:c>
      <x:c r="C7" s="5" t="n"/>
      <x:c r="D7" s="5" t="n"/>
      <x:c r="E7" s="5" t="n"/>
      <x:c r="F7" s="8" t="n"/>
    </x:row>
    <x:row r="8" ht="62" customHeight="1">
      <x:c r="A8" s="6" t="inlineStr">
        <x:is>
          <x:t xml:space="preserve">Lab 10 / Week 4</x:t>
        </x:is>
      </x:c>
      <x:c r="B8" s="5" t="inlineStr">
        <x:is>
          <x:t xml:space="preserve">Record actual team work</x:t>
        </x:is>
      </x:c>
      <x:c r="C8" s="5" t="n"/>
      <x:c r="D8" s="5" t="n"/>
      <x:c r="E8" s="5" t="n"/>
      <x:c r="F8" s="8" t="n"/>
    </x:row>
  </x:sheetData>
  <x:mergeCells>
    <x:mergeCell ref="A2:F2"/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50" customWidth="1"/>
    <x:col min="3" max="3" width="15" customWidth="1"/>
    <x:col min="4" max="4" width="20" customWidth="1"/>
    <x:col min="5" max="5" width="22" customWidth="1"/>
    <x:col min="6" max="6" width="75" customWidth="1"/>
    <x:col min="7" max="7" width="20" customWidth="1"/>
  </x:cols>
  <x:sheetData>
    <x:row r="1" ht="30" customHeight="1">
      <x:c r="A1" s="1" t="inlineStr">
        <x:is>
          <x:t xml:space="preserve">Marking | 23 October 2026</x:t>
        </x:is>
      </x:c>
      <x:c r="B1" s="1" t="n"/>
      <x:c r="C1" s="1" t="n"/>
      <x:c r="D1" s="1" t="n"/>
      <x:c r="E1" s="1" t="n"/>
      <x:c r="F1" s="1" t="n"/>
      <x:c r="G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  <x:c r="D2" s="2" t="n"/>
      <x:c r="E2" s="2" t="n"/>
      <x:c r="F2" s="3" t="n"/>
      <x:c r="G2" s="3" t="n"/>
    </x:row>
    <x:row r="3">
      <x:c r="A3" s="4" t="inlineStr">
        <x:is>
          <x:t xml:space="preserve">Task</x:t>
        </x:is>
      </x:c>
      <x:c r="B3" s="4" t="inlineStr">
        <x:is>
          <x:t xml:space="preserve">Criterion</x:t>
        </x:is>
      </x:c>
      <x:c r="C3" s="4" t="inlineStr">
        <x:is>
          <x:t xml:space="preserve">Maximum</x:t>
        </x:is>
      </x:c>
      <x:c r="D3" s="4" t="inlineStr">
        <x:is>
          <x:t xml:space="preserve">Self-mark</x:t>
        </x:is>
      </x:c>
      <x:c r="E3" s="4" t="inlineStr">
        <x:is>
          <x:t xml:space="preserve">Lecturer mark</x:t>
        </x:is>
      </x:c>
      <x:c r="F3" s="4" t="inlineStr">
        <x:is>
          <x:t xml:space="preserve">Status / evidence</x:t>
        </x:is>
      </x:c>
      <x:c r="G3" s="4" t="inlineStr">
        <x:is>
          <x:t xml:space="preserve">Section</x:t>
        </x:is>
      </x:c>
    </x:row>
    <x:row r="4" ht="42" customHeight="1">
      <x:c r="A4" s="6" t="inlineStr">
        <x:is>
          <x:t xml:space="preserve">1</x:t>
        </x:is>
      </x:c>
      <x:c r="B4" s="6" t="inlineStr">
        <x:is>
          <x:t xml:space="preserve">Clarification Q&amp;A</x:t>
        </x:is>
      </x:c>
      <x:c r="C4" s="6" t="n">
        <x:v>5</x:v>
      </x:c>
      <x:c r="D4" s="5" t="n"/>
      <x:c r="E4" s="8" t="n"/>
      <x:c r="F4" s="6" t="inlineStr">
        <x:is>
          <x:t xml:space="preserve">Artifact verified</x:t>
        </x:is>
      </x:c>
      <x:c r="G4" s="6" t="inlineStr">
        <x:is>
          <x:t xml:space="preserve">2.1</x:t>
        </x:is>
      </x:c>
    </x:row>
    <x:row r="5" ht="42" customHeight="1">
      <x:c r="A5" s="7" t="inlineStr">
        <x:is>
          <x:t xml:space="preserve">2</x:t>
        </x:is>
      </x:c>
      <x:c r="B5" s="7" t="inlineStr">
        <x:is>
          <x:t xml:space="preserve">Requirements specification</x:t>
        </x:is>
      </x:c>
      <x:c r="C5" s="7" t="n">
        <x:v>15</x:v>
      </x:c>
      <x:c r="D5" s="5" t="n"/>
      <x:c r="E5" s="8" t="n"/>
      <x:c r="F5" s="7" t="inlineStr">
        <x:is>
          <x:t xml:space="preserve">Artifact verified</x:t>
        </x:is>
      </x:c>
      <x:c r="G5" s="7" t="inlineStr">
        <x:is>
          <x:t xml:space="preserve">2.2</x:t>
        </x:is>
      </x:c>
    </x:row>
    <x:row r="6" ht="42" customHeight="1">
      <x:c r="A6" s="6" t="inlineStr">
        <x:is>
          <x:t xml:space="preserve">3</x:t>
        </x:is>
      </x:c>
      <x:c r="B6" s="6" t="inlineStr">
        <x:is>
          <x:t xml:space="preserve">Use cases</x:t>
        </x:is>
      </x:c>
      <x:c r="C6" s="6" t="n">
        <x:v>10</x:v>
      </x:c>
      <x:c r="D6" s="5" t="n"/>
      <x:c r="E6" s="8" t="n"/>
      <x:c r="F6" s="6" t="inlineStr">
        <x:is>
          <x:t xml:space="preserve">Artifact reviewed</x:t>
        </x:is>
      </x:c>
      <x:c r="G6" s="6" t="inlineStr">
        <x:is>
          <x:t xml:space="preserve">3.1</x:t>
        </x:is>
      </x:c>
    </x:row>
    <x:row r="7" ht="42" customHeight="1">
      <x:c r="A7" s="7" t="inlineStr">
        <x:is>
          <x:t xml:space="preserve">4</x:t>
        </x:is>
      </x:c>
      <x:c r="B7" s="7" t="inlineStr">
        <x:is>
          <x:t xml:space="preserve">Activity diagrams</x:t>
        </x:is>
      </x:c>
      <x:c r="C7" s="7" t="n">
        <x:v>10</x:v>
      </x:c>
      <x:c r="D7" s="5" t="n"/>
      <x:c r="E7" s="8" t="n"/>
      <x:c r="F7" s="7" t="inlineStr">
        <x:is>
          <x:t xml:space="preserve">Artifact reviewed</x:t>
        </x:is>
      </x:c>
      <x:c r="G7" s="7" t="inlineStr">
        <x:is>
          <x:t xml:space="preserve">3.2</x:t>
        </x:is>
      </x:c>
    </x:row>
    <x:row r="8" ht="42" customHeight="1">
      <x:c r="A8" s="6" t="inlineStr">
        <x:is>
          <x:t xml:space="preserve">5</x:t>
        </x:is>
      </x:c>
      <x:c r="B8" s="6" t="inlineStr">
        <x:is>
          <x:t xml:space="preserve">Detailed system modeling</x:t>
        </x:is>
      </x:c>
      <x:c r="C8" s="6" t="n">
        <x:v>15</x:v>
      </x:c>
      <x:c r="D8" s="5" t="n"/>
      <x:c r="E8" s="8" t="n"/>
      <x:c r="F8" s="6" t="inlineStr">
        <x:is>
          <x:t xml:space="preserve">Current class/state/sequence reviewed</x:t>
        </x:is>
      </x:c>
      <x:c r="G8" s="6" t="inlineStr">
        <x:is>
          <x:t xml:space="preserve">3.3</x:t>
        </x:is>
      </x:c>
    </x:row>
    <x:row r="9" ht="42" customHeight="1">
      <x:c r="A9" s="7" t="inlineStr">
        <x:is>
          <x:t xml:space="preserve">6</x:t>
        </x:is>
      </x:c>
      <x:c r="B9" s="7" t="inlineStr">
        <x:is>
          <x:t xml:space="preserve">UI/UX</x:t>
        </x:is>
      </x:c>
      <x:c r="C9" s="7" t="n">
        <x:v>5</x:v>
      </x:c>
      <x:c r="D9" s="5" t="n"/>
      <x:c r="E9" s="8" t="n"/>
      <x:c r="F9" s="7" t="inlineStr">
        <x:is>
          <x:t xml:space="preserve">Built and visually checked</x:t>
        </x:is>
      </x:c>
      <x:c r="G9" s="7" t="inlineStr">
        <x:is>
          <x:t xml:space="preserve">4.1</x:t>
        </x:is>
      </x:c>
    </x:row>
    <x:row r="10" ht="42" customHeight="1">
      <x:c r="A10" s="6" t="inlineStr">
        <x:is>
          <x:t xml:space="preserve">7</x:t>
        </x:is>
      </x:c>
      <x:c r="B10" s="6" t="inlineStr">
        <x:is>
          <x:t xml:space="preserve">Architecture</x:t>
        </x:is>
      </x:c>
      <x:c r="C10" s="6" t="n">
        <x:v>10</x:v>
      </x:c>
      <x:c r="D10" s="5" t="n"/>
      <x:c r="E10" s="8" t="n"/>
      <x:c r="F10" s="6" t="inlineStr">
        <x:is>
          <x:t xml:space="preserve">Demo/production boundaries stated</x:t>
        </x:is>
      </x:c>
      <x:c r="G10" s="6" t="inlineStr">
        <x:is>
          <x:t xml:space="preserve">4.2</x:t>
        </x:is>
      </x:c>
    </x:row>
    <x:row r="11" ht="42" customHeight="1">
      <x:c r="A11" s="7" t="inlineStr">
        <x:is>
          <x:t xml:space="preserve">8</x:t>
        </x:is>
      </x:c>
      <x:c r="B11" s="7" t="inlineStr">
        <x:is>
          <x:t xml:space="preserve">Visual Studio engineering</x:t>
        </x:is>
      </x:c>
      <x:c r="C11" s="7" t="n">
        <x:v>10</x:v>
      </x:c>
      <x:c r="D11" s="5" t="n"/>
      <x:c r="E11" s="8" t="n"/>
      <x:c r="F11" s="7" t="inlineStr">
        <x:is>
          <x:t xml:space="preserve">Generated artifacts; actual VS captures pending</x:t>
        </x:is>
      </x:c>
      <x:c r="G11" s="7" t="inlineStr">
        <x:is>
          <x:t xml:space="preserve">5.1</x:t>
        </x:is>
      </x:c>
    </x:row>
    <x:row r="12" ht="42" customHeight="1">
      <x:c r="A12" s="6" t="inlineStr">
        <x:is>
          <x:t xml:space="preserve">9</x:t>
        </x:is>
      </x:c>
      <x:c r="B12" s="6" t="inlineStr">
        <x:is>
          <x:t xml:space="preserve">GitHub and AI tooling</x:t>
        </x:is>
      </x:c>
      <x:c r="C12" s="6" t="n">
        <x:v>10</x:v>
      </x:c>
      <x:c r="D12" s="5" t="n"/>
      <x:c r="E12" s="8" t="n"/>
      <x:c r="F12" s="6" t="inlineStr">
        <x:is>
          <x:t xml:space="preserve">AI log supplied; genuine group GitHub history pending</x:t>
        </x:is>
      </x:c>
      <x:c r="G12" s="6" t="inlineStr">
        <x:is>
          <x:t xml:space="preserve">5.2</x:t>
        </x:is>
      </x:c>
    </x:row>
    <x:row r="13" ht="42" customHeight="1">
      <x:c r="A13" s="7" t="inlineStr">
        <x:is>
          <x:t xml:space="preserve">10</x:t>
        </x:is>
      </x:c>
      <x:c r="B13" s="7" t="inlineStr">
        <x:is>
          <x:t xml:space="preserve">C# and MSSQL demo</x:t>
        </x:is>
      </x:c>
      <x:c r="C13" s="7" t="n">
        <x:v>10</x:v>
      </x:c>
      <x:c r="D13" s="5" t="n"/>
      <x:c r="E13" s="8" t="n"/>
      <x:c r="F13" s="7" t="str">
        <x:v>21 unit tests and 5 SQL checks; kiosk demo verified</x:v>
      </x:c>
      <x:c r="G13" s="7" t="inlineStr">
        <x:is>
          <x:t xml:space="preserve">5.3</x:t>
        </x:is>
      </x:c>
    </x:row>
    <x:row r="14">
      <x:c r="A14" t="inlineStr">
        <x:is>
          <x:t xml:space="preserve">TOTAL</x:t>
        </x:is>
      </x:c>
      <x:c r="C14" t="n">
        <x:f>SUM(C4:C13)</x:f>
        <x:v>100</x:v>
      </x:c>
      <x:c r="D14" t="str">
        <x:f>IF(COUNT(D4:D13)=0,"",SUM(D4:D13))</x:f>
      </x:c>
      <x:c r="E14" t="str">
        <x:f>IF(COUNT(E4:E13)=0,"",SUM(E4:E13))</x:f>
      </x:c>
      <x:c r="F14" t="inlineStr">
        <x:is>
          <x:t xml:space="preserve">Marks are not guaranteed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44" customWidth="1"/>
    <x:col min="2" max="2" width="53" customWidth="1"/>
    <x:col min="3" max="3" width="90" customWidth="1"/>
  </x:cols>
  <x:sheetData>
    <x:row r="1" ht="30" customHeight="1">
      <x:c r="A1" s="1" t="inlineStr">
        <x:is>
          <x:t xml:space="preserve">Summary | 23 October 2026</x:t>
        </x:is>
      </x:c>
      <x:c r="B1" s="1" t="n"/>
      <x:c r="C1" s="1" t="n"/>
    </x:row>
    <x:row r="2" ht="30" customHeight="1">
      <x:c r="A2" s="3" t="inlineStr">
        <x:is>
          <x:t xml:space="preserve">Verified artifacts and pending team/lecturer evidence are recorded separately.</x:t>
        </x:is>
      </x:c>
      <x:c r="B2" s="3" t="n"/>
      <x:c r="C2" s="3" t="n"/>
    </x:row>
    <x:row r="3">
      <x:c r="A3" s="4" t="inlineStr">
        <x:is>
          <x:t xml:space="preserve">Metric</x:t>
        </x:is>
      </x:c>
      <x:c r="B3" s="4" t="inlineStr">
        <x:is>
          <x:t xml:space="preserve">Value</x:t>
        </x:is>
      </x:c>
      <x:c r="C3" s="4" t="inlineStr">
        <x:is>
          <x:t xml:space="preserve">Meaning</x:t>
        </x:is>
      </x:c>
    </x:row>
    <x:row r="4" ht="42" customHeight="1">
      <x:c r="A4" s="6" t="inlineStr">
        <x:is>
          <x:t xml:space="preserve">Maximum score</x:t>
        </x:is>
      </x:c>
      <x:c r="B4" s="6" t="n">
        <x:v>100</x:v>
      </x:c>
      <x:c r="C4" s="6" t="inlineStr">
        <x:is>
          <x:t xml:space="preserve">Rubric total</x:t>
        </x:is>
      </x:c>
    </x:row>
    <x:row r="5" ht="42" customHeight="1">
      <x:c r="A5" s="7" t="inlineStr">
        <x:is>
          <x:t xml:space="preserve">Self-mark</x:t>
        </x:is>
      </x:c>
      <x:c r="B5" s="7" t="str">
        <x:f>IF(COUNT(Marking!D4:D13)=0,"",SUM(Marking!D4:D13))</x:f>
      </x:c>
      <x:c r="C5" s="7" t="inlineStr">
        <x:is>
          <x:t xml:space="preserve">Team review required</x:t>
        </x:is>
      </x:c>
    </x:row>
    <x:row r="6" ht="42" customHeight="1">
      <x:c r="A6" s="6" t="inlineStr">
        <x:is>
          <x:t xml:space="preserve">Lecturer mark</x:t>
        </x:is>
      </x:c>
      <x:c r="B6" s="6" t="str">
        <x:f>IF(COUNT(Marking!E4:E13)=0,"",SUM(Marking!E4:E13))</x:f>
      </x:c>
      <x:c r="C6" s="6" t="inlineStr">
        <x:is>
          <x:t xml:space="preserve">Lecturer input only</x:t>
        </x:is>
      </x:c>
    </x:row>
    <x:row r="7" ht="42" customHeight="1">
      <x:c r="A7" s="7" t="inlineStr">
        <x:is>
          <x:t xml:space="preserve">QT2 weight</x:t>
        </x:is>
      </x:c>
      <x:c r="B7" s="7" t="n">
        <x:v>0.2</x:v>
      </x:c>
      <x:c r="C7" s="7" t="inlineStr">
        <x:is>
          <x:t xml:space="preserve">Assignment fraction</x:t>
        </x:is>
      </x:c>
    </x:row>
    <x:row r="8" ht="42" customHeight="1">
      <x:c r="A8" s="6" t="inlineStr">
        <x:is>
          <x:t xml:space="preserve">Weighted QT2 percentage points</x:t>
        </x:is>
      </x:c>
      <x:c r="B8" s="6" t="str">
        <x:f>IF(B6="","",B6*B7)</x:f>
      </x:c>
      <x:c r="C8" s="6" t="inlineStr">
        <x:is>
          <x:t xml:space="preserve">Lecturer score times weight</x:t>
        </x:is>
      </x:c>
    </x:row>
    <x:row r="9" ht="42" customHeight="1">
      <x:c r="A9" s="7" t="inlineStr">
        <x:is>
          <x:t xml:space="preserve">Member count</x:t>
        </x:is>
      </x:c>
      <x:c r="B9" s="7" t="n">
        <x:f>COUNTA(Team!B4:B8)</x:f>
        <x:v>1</x:v>
      </x:c>
      <x:c r="C9" s="7" t="inlineStr">
        <x:is>
          <x:t xml:space="preserve">Must be 3–5</x:t>
        </x:is>
      </x:c>
    </x:row>
    <x:row r="10" ht="42" customHeight="1">
      <x:c r="A10" s="6" t="inlineStr">
        <x:is>
          <x:t xml:space="preserve">Contribution total</x:t>
        </x:is>
      </x:c>
      <x:c r="B10" s="6" t="n">
        <x:f>SUM(Team!D4:D8)</x:f>
        <x:v>0</x:v>
      </x:c>
      <x:c r="C10" s="6" t="inlineStr">
        <x:is>
          <x:t xml:space="preserve">Must be 100</x:t>
        </x:is>
      </x:c>
    </x:row>
    <x:row r="11" ht="42" customHeight="1">
      <x:c r="A11" s="7" t="inlineStr">
        <x:is>
          <x:t xml:space="preserve">Team readiness</x:t>
        </x:is>
      </x:c>
      <x:c r="B11" s="7" t="str">
        <x:f>IF(AND(B9&gt;=3,B9&lt;=5,B10=100),"Ready","Missing team details")</x:f>
        <x:v>Missing team details</x:v>
      </x:c>
      <x:c r="C11" s="7" t="inlineStr">
        <x:is>
          <x:t xml:space="preserve">Do not fabricate members or contributions</x:t>
        </x:is>
      </x:c>
    </x:row>
    <x:row r="12" ht="42" customHeight="1">
      <x:c r="A12" s="6" t="inlineStr">
        <x:is>
          <x:t xml:space="preserve">GitHub repository</x:t>
        </x:is>
      </x:c>
      <x:c r="B12" s="6" t="inlineStr">
        <x:is>
          <x:t xml:space="preserve">Pending</x:t>
        </x:is>
      </x:c>
      <x:c r="C12" s="6" t="inlineStr">
        <x:is>
          <x:t xml:space="preserve">Provided URL is an account profile</x:t>
        </x:is>
      </x:c>
    </x:row>
    <x:row r="13" ht="42" customHeight="1">
      <x:c r="A13" s="7" t="inlineStr">
        <x:is>
          <x:t xml:space="preserve">Manual evidence</x:t>
        </x:is>
      </x:c>
      <x:c r="B13" s="7" t="inlineStr">
        <x:is>
          <x:t xml:space="preserve">Actual Visual Studio screenshots</x:t>
        </x:is>
      </x:c>
      <x:c r="C13" s="7" t="inlineStr">
        <x:is>
          <x:t xml:space="preserve">See report</x:t>
        </x:is>
      </x:c>
    </x:row>
  </x:sheetData>
  <x:mergeCells>
    <x:mergeCell ref="A1:C1"/>
    <x:mergeCell ref="A2:C2"/>
  </x:mergeCells>
  <x:pageMargins left="0.7" right="0.7" top="0.75" bottom="0.75" header="0.3" footer="0.3"/>
</x:worksheet>
</file>