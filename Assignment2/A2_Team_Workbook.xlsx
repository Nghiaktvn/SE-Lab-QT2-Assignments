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959ffe30774c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m" sheetId="1" r:id="Rf08f0b5e49ed418e"/>
    <x:sheet xmlns:r="http://schemas.openxmlformats.org/officeDocument/2006/relationships" name="Tasks &amp; Division" sheetId="2" r:id="Rd0cbb696285b492f"/>
    <x:sheet xmlns:r="http://schemas.openxmlformats.org/officeDocument/2006/relationships" name="Database" sheetId="3" r:id="Ra0f8bc4827aa4ded"/>
    <x:sheet xmlns:r="http://schemas.openxmlformats.org/officeDocument/2006/relationships" name="Transaction Tests" sheetId="4" r:id="R99c4224385444bb5"/>
    <x:sheet xmlns:r="http://schemas.openxmlformats.org/officeDocument/2006/relationships" name="Unit Tests" sheetId="5" r:id="Ref983aee36374f41"/>
    <x:sheet xmlns:r="http://schemas.openxmlformats.org/officeDocument/2006/relationships" name="Branches &amp; PRs" sheetId="6" r:id="R7dfc88722934435b"/>
    <x:sheet xmlns:r="http://schemas.openxmlformats.org/officeDocument/2006/relationships" name="Config Check" sheetId="7" r:id="R1f130be7466a4fc1"/>
    <x:sheet xmlns:r="http://schemas.openxmlformats.org/officeDocument/2006/relationships" name="AI Usage Log" sheetId="8" r:id="R2cc0fb08a72947b4"/>
    <x:sheet xmlns:r="http://schemas.openxmlformats.org/officeDocument/2006/relationships" name="Commit Log" sheetId="9" r:id="Ra3d95c7d041643f3"/>
    <x:sheet xmlns:r="http://schemas.openxmlformats.org/officeDocument/2006/relationships" name="Progress Log" sheetId="10" r:id="R4477212101584a8d"/>
    <x:sheet xmlns:r="http://schemas.openxmlformats.org/officeDocument/2006/relationships" name="Marking" sheetId="11" r:id="Rf9dadbff93cf447b"/>
    <x:sheet xmlns:r="http://schemas.openxmlformats.org/officeDocument/2006/relationships" name="Summary" sheetId="12" r:id="Rf9a8787568454f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sz val="10"/>
      <x:color rgb="FF1F4E78"/>
      <x:name val="Calibri"/>
    </x:font>
    <x:font>
      <x:b/>
      <x:sz val="16"/>
      <x:color rgb="FFFFFFFF"/>
      <x:name val="Calibri"/>
    </x:font>
    <x:font>
      <x:sz val="10"/>
      <x:color rgb="FF202C2C"/>
      <x:name val="Calibri"/>
    </x:font>
    <x:font>
      <x:b/>
      <x:color rgb="FFFFFFFF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83638"/>
      </x:patternFill>
    </x:fill>
    <x:fill>
      <x:patternFill patternType="solid">
        <x:fgColor rgb="FF24715D"/>
      </x:patternFill>
    </x:fill>
    <x:fill>
      <x:patternFill patternType="solid">
        <x:fgColor rgb="FFFFF2CC"/>
      </x:patternFill>
    </x:fill>
    <x:fill>
      <x:patternFill patternType="solid">
        <x:fgColor rgb="FFF3F7F2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2" fillId="2" borderId="0" xfId="0" applyAlignment="1">
      <x:alignment vertical="top" wrapText="1"/>
    </x:xf>
    <x:xf numFmtId="0" fontId="1" fillId="0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4" fillId="3" borderId="0" xfId="0" applyAlignment="1">
      <x:alignment vertical="top" wrapText="1"/>
    </x:xf>
    <x:xf numFmtId="0" fontId="1" fillId="4" borderId="0" xfId="0" applyAlignment="1">
      <x:alignment vertical="top" wrapText="1"/>
    </x:xf>
    <x:xf numFmtId="0" fontId="3" fillId="5" borderId="0" xfId="0" applyAlignment="1">
      <x:alignment vertical="top" wrapText="1"/>
    </x:xf>
    <x:xf numFmtId="0" fontId="3" fillId="6" borderId="0" xfId="0" applyAlignment="1">
      <x:alignment vertical="top" wrapText="1"/>
    </x:xf>
    <x:xf numFmtId="0" fontId="1" fillId="7" borderId="0" xfId="0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cdb50ee8e34dbc" /><Relationship Type="http://schemas.openxmlformats.org/officeDocument/2006/relationships/theme" Target="/xl/theme/theme1.xml" Id="Ra62b68a664544633" /><Relationship Type="http://schemas.openxmlformats.org/officeDocument/2006/relationships/sharedStrings" Target="/xl/sharedStrings.xml" Id="R52c94c9cc86d42fd" /><Relationship Type="http://schemas.openxmlformats.org/officeDocument/2006/relationships/worksheet" Target="/xl/worksheets/sheet1.xml" Id="Rf08f0b5e49ed418e" /><Relationship Type="http://schemas.openxmlformats.org/officeDocument/2006/relationships/worksheet" Target="/xl/worksheets/sheet2.xml" Id="Rd0cbb696285b492f" /><Relationship Type="http://schemas.openxmlformats.org/officeDocument/2006/relationships/worksheet" Target="/xl/worksheets/sheet3.xml" Id="Ra0f8bc4827aa4ded" /><Relationship Type="http://schemas.openxmlformats.org/officeDocument/2006/relationships/worksheet" Target="/xl/worksheets/sheet4.xml" Id="R99c4224385444bb5" /><Relationship Type="http://schemas.openxmlformats.org/officeDocument/2006/relationships/worksheet" Target="/xl/worksheets/sheet5.xml" Id="Ref983aee36374f41" /><Relationship Type="http://schemas.openxmlformats.org/officeDocument/2006/relationships/worksheet" Target="/xl/worksheets/sheet6.xml" Id="R7dfc88722934435b" /><Relationship Type="http://schemas.openxmlformats.org/officeDocument/2006/relationships/worksheet" Target="/xl/worksheets/sheet7.xml" Id="R1f130be7466a4fc1" /><Relationship Type="http://schemas.openxmlformats.org/officeDocument/2006/relationships/worksheet" Target="/xl/worksheets/sheet8.xml" Id="R2cc0fb08a72947b4" /><Relationship Type="http://schemas.openxmlformats.org/officeDocument/2006/relationships/worksheet" Target="/xl/worksheets/sheet9.xml" Id="Ra3d95c7d041643f3" /><Relationship Type="http://schemas.openxmlformats.org/officeDocument/2006/relationships/worksheet" Target="/xl/worksheets/sheet10.xml" Id="R4477212101584a8d" /><Relationship Type="http://schemas.openxmlformats.org/officeDocument/2006/relationships/worksheet" Target="/xl/worksheets/sheet11.xml" Id="Rf9dadbff93cf447b" /><Relationship Type="http://schemas.openxmlformats.org/officeDocument/2006/relationships/worksheet" Target="/xl/worksheets/sheet12.xml" Id="Rf9a8787568454f0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26" customWidth="1"/>
    <x:col min="2" max="2" width="17" customWidth="1"/>
    <x:col min="3" max="3" width="57" customWidth="1"/>
    <x:col min="4" max="4" width="18" customWidth="1"/>
    <x:col min="5" max="5" width="18" customWidth="1"/>
    <x:col min="6" max="6" width="40" customWidth="1"/>
  </x:cols>
  <x:sheetData>
    <x:row r="1" ht="30" customHeight="1">
      <x:c r="A1" s="1" t="inlineStr">
        <x:is>
          <x:t xml:space="preserve">Team | 23 October 2026</x:t>
        </x:is>
      </x:c>
      <x:c r="B1" s="1" t="n"/>
      <x:c r="C1" s="1" t="n"/>
      <x:c r="D1" s="1" t="n"/>
      <x:c r="E1" s="1" t="n"/>
      <x:c r="F1" s="1" t="n"/>
    </x:row>
    <x:row r="2" ht="30" customHeight="1">
      <x:c r="A2" s="2" t="inlineStr">
        <x:is>
          <x:t xml:space="preserve">Verified artifacts and pending team/lecturer evidence are recorded separately.</x:t>
        </x:is>
      </x:c>
      <x:c r="B2" s="2" t="n"/>
      <x:c r="C2" s="2" t="n"/>
      <x:c r="D2" s="2" t="n"/>
      <x:c r="E2" s="3" t="n"/>
      <x:c r="F2" s="2" t="n"/>
    </x:row>
    <x:row r="3">
      <x:c r="A3" s="4" t="inlineStr">
        <x:is>
          <x:t xml:space="preserve">Name</x:t>
        </x:is>
      </x:c>
      <x:c r="B3" s="4" t="inlineStr">
        <x:is>
          <x:t xml:space="preserve">Student ID</x:t>
        </x:is>
      </x:c>
      <x:c r="C3" s="4" t="inlineStr">
        <x:is>
          <x:t xml:space="preserve">Role / actual ownership</x:t>
        </x:is>
      </x:c>
      <x:c r="D3" s="4" t="inlineStr">
        <x:is>
          <x:t xml:space="preserve">Contribution %</x:t>
        </x:is>
      </x:c>
      <x:c r="E3" s="4" t="inlineStr">
        <x:is>
          <x:t xml:space="preserve">Commit count</x:t>
        </x:is>
      </x:c>
      <x:c r="F3" s="4" t="inlineStr">
        <x:is>
          <x:t xml:space="preserve">GitHub profile</x:t>
        </x:is>
      </x:c>
    </x:row>
    <x:row r="4" ht="42" customHeight="1">
      <x:c r="A4" s="5" t="inlineStr">
        <x:is>
          <x:t xml:space="preserve">Phạm Trung Nghĩa</x:t>
        </x:is>
      </x:c>
      <x:c r="B4" s="5" t="inlineStr">
        <x:is>
          <x:t xml:space="preserve">524H0172</x:t>
        </x:is>
      </x:c>
      <x:c r="C4" s="5" t="inlineStr">
        <x:is>
          <x:t xml:space="preserve">Confirmed contact; actual feature ownership pending</x:t>
        </x:is>
      </x:c>
      <x:c r="D4" s="5" t="n"/>
      <x:c r="E4" s="6" t="n">
        <x:f>COUNTIF('Commit Log'!C4:C500,B4)</x:f>
        <x:v>0</x:v>
      </x:c>
      <x:c r="F4" s="5" t="inlineStr">
        <x:is>
          <x:t xml:space="preserve">https://github.com/Nghiaktvn</x:t>
        </x:is>
      </x:c>
    </x:row>
    <x:row r="5" ht="42" customHeight="1">
      <x:c r="A5" s="5" t="n"/>
      <x:c r="B5" s="5" t="n"/>
      <x:c r="C5" s="5" t="n"/>
      <x:c r="D5" s="5" t="n"/>
      <x:c r="E5" s="7" t="str">
        <x:f>IF(B5="","",COUNTIF('Commit Log'!C4:C500,B5))</x:f>
      </x:c>
      <x:c r="F5" s="5" t="n"/>
    </x:row>
    <x:row r="6" ht="42" customHeight="1">
      <x:c r="A6" s="5" t="n"/>
      <x:c r="B6" s="5" t="n"/>
      <x:c r="C6" s="5" t="n"/>
      <x:c r="D6" s="5" t="n"/>
      <x:c r="E6" s="6" t="str">
        <x:f>IF(B6="","",COUNTIF('Commit Log'!C4:C500,B6))</x:f>
      </x:c>
      <x:c r="F6" s="5" t="n"/>
    </x:row>
    <x:row r="7" ht="42" customHeight="1">
      <x:c r="A7" s="5" t="n"/>
      <x:c r="B7" s="5" t="n"/>
      <x:c r="C7" s="5" t="n"/>
      <x:c r="D7" s="5" t="n"/>
      <x:c r="E7" s="7" t="str">
        <x:f>IF(B7="","",COUNTIF('Commit Log'!C4:C500,B7))</x:f>
      </x:c>
      <x:c r="F7" s="5" t="n"/>
    </x:row>
    <x:row r="8" ht="42" customHeight="1">
      <x:c r="A8" s="5" t="n"/>
      <x:c r="B8" s="5" t="n"/>
      <x:c r="C8" s="5" t="n"/>
      <x:c r="D8" s="5" t="n"/>
      <x:c r="E8" s="6" t="str">
        <x:f>IF(B8="","",COUNTIF('Commit Log'!C4:C500,B8))</x:f>
      </x:c>
      <x:c r="F8" s="5" t="n"/>
    </x:row>
    <x:row r="9">
      <x:c r="A9" t="inlineStr">
        <x:is>
          <x:t xml:space="preserve">TOTAL</x:t>
        </x:is>
      </x:c>
      <x:c r="C9" t="inlineStr">
        <x:is>
          <x:t xml:space="preserve">3–5 actual members required</x:t>
        </x:is>
      </x:c>
      <x:c r="D9" t="n">
        <x:f>SUM(D4:D8)</x:f>
        <x:v>0</x:v>
      </x:c>
    </x:row>
    <x:row r="10">
      <x:c r="A10" t="inlineStr">
        <x:is>
          <x:t xml:space="preserve">Group number</x:t>
        </x:is>
      </x:c>
      <x:c r="C10" t="inlineStr">
        <x:is>
          <x:t xml:space="preserve">Pending group confirmation</x:t>
        </x:is>
      </x:c>
    </x:row>
    <x:row r="11">
      <x:c r="A11" t="inlineStr">
        <x:is>
          <x:t xml:space="preserve">Web option</x:t>
        </x:is>
      </x:c>
      <x:c r="B11" t="inlineStr">
        <x:is>
          <x:t xml:space="preserve">Option B — Razor Pages</x:t>
        </x:is>
      </x:c>
    </x:row>
  </x:sheetData>
  <x:mergeCells>
    <x:mergeCell ref="A2:F2"/>
    <x:mergeCell ref="A1:F1"/>
  </x:mergeCells>
  <x:dataValidations count="1">
    <x:dataValidation type="decimal" operator="between" allowBlank="0" showDropDown="0" showInputMessage="0" showErrorMessage="1" sqref="D4:D8">
      <x:formula1>0</x:formula1>
      <x:formula2>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2" customWidth="1"/>
    <x:col min="2" max="2" width="52" customWidth="1"/>
    <x:col min="3" max="3" width="12" customWidth="1"/>
    <x:col min="4" max="4" width="32" customWidth="1"/>
    <x:col min="5" max="5" width="50" customWidth="1"/>
    <x:col min="6" max="6" width="64" customWidth="1"/>
    <x:col min="7" max="7" width="22" customWidth="1"/>
  </x:cols>
  <x:sheetData>
    <x:row r="1" ht="30" customHeight="1">
      <x:c r="A1" s="1" t="inlineStr">
        <x:is>
          <x:t xml:space="preserve">Tasks &amp; Division | 23 October 2026</x:t>
        </x:is>
      </x:c>
      <x:c r="B1" s="1" t="n"/>
      <x:c r="C1" s="1" t="n"/>
      <x:c r="D1" s="1" t="n"/>
      <x:c r="E1" s="1" t="n"/>
      <x:c r="F1" s="1" t="n"/>
      <x:c r="G1" s="1" t="n"/>
    </x:row>
    <x:row r="2" ht="30" customHeight="1">
      <x:c r="A2" s="3" t="inlineStr">
        <x:is>
          <x:t xml:space="preserve">Verified artifacts and pending team/lecturer evidence are recorded separately.</x:t>
        </x:is>
      </x:c>
      <x:c r="B2" s="3" t="n"/>
      <x:c r="C2" s="3" t="n"/>
      <x:c r="D2" s="2" t="n"/>
      <x:c r="E2" s="2" t="n"/>
      <x:c r="F2" s="3" t="n"/>
      <x:c r="G2" s="2" t="n"/>
    </x:row>
    <x:row r="3">
      <x:c r="A3" s="4" t="inlineStr">
        <x:is>
          <x:t xml:space="preserve">Task</x:t>
        </x:is>
      </x:c>
      <x:c r="B3" s="4" t="inlineStr">
        <x:is>
          <x:t xml:space="preserve">Feature</x:t>
        </x:is>
      </x:c>
      <x:c r="C3" s="4" t="inlineStr">
        <x:is>
          <x:t xml:space="preserve">Marks</x:t>
        </x:is>
      </x:c>
      <x:c r="D3" s="4" t="inlineStr">
        <x:is>
          <x:t xml:space="preserve">Responsible student</x:t>
        </x:is>
      </x:c>
      <x:c r="E3" s="4" t="inlineStr">
        <x:is>
          <x:t xml:space="preserve">Branch / PR</x:t>
        </x:is>
      </x:c>
      <x:c r="F3" s="4" t="inlineStr">
        <x:is>
          <x:t xml:space="preserve">Status</x:t>
        </x:is>
      </x:c>
      <x:c r="G3" s="4" t="inlineStr">
        <x:is>
          <x:t xml:space="preserve">Workload share %</x:t>
        </x:is>
      </x:c>
    </x:row>
    <x:row r="4" ht="62" customHeight="1">
      <x:c r="A4" s="6" t="inlineStr">
        <x:is>
          <x:t xml:space="preserve">DB</x:t>
        </x:is>
      </x:c>
      <x:c r="B4" s="6" t="inlineStr">
        <x:is>
          <x:t xml:space="preserve">Database and integrity</x:t>
        </x:is>
      </x:c>
      <x:c r="C4" s="6" t="n">
        <x:v>10</x:v>
      </x:c>
      <x:c r="D4" s="5" t="n"/>
      <x:c r="E4" s="5" t="n"/>
      <x:c r="F4" s="6" t="inlineStr">
        <x:is>
          <x:t xml:space="preserve">Schema/seed and SQL verified</x:t>
        </x:is>
      </x:c>
      <x:c r="G4" s="5" t="n"/>
    </x:row>
    <x:row r="5" ht="62" customHeight="1">
      <x:c r="A5" s="7" t="inlineStr">
        <x:is>
          <x:t xml:space="preserve">1.1</x:t>
        </x:is>
      </x:c>
      <x:c r="B5" s="7" t="inlineStr">
        <x:is>
          <x:t xml:space="preserve">Admin login</x:t>
        </x:is>
      </x:c>
      <x:c r="C5" s="7" t="n">
        <x:v>5</x:v>
      </x:c>
      <x:c r="D5" s="5" t="n"/>
      <x:c r="E5" s="5" t="n"/>
      <x:c r="F5" s="7" t="inlineStr">
        <x:is>
          <x:t xml:space="preserve">Role and lockout SQL checks</x:t>
        </x:is>
      </x:c>
      <x:c r="G5" s="5" t="n"/>
    </x:row>
    <x:row r="6" ht="62" customHeight="1">
      <x:c r="A6" s="6" t="inlineStr">
        <x:is>
          <x:t xml:space="preserve">1.2</x:t>
        </x:is>
      </x:c>
      <x:c r="B6" s="6" t="inlineStr">
        <x:is>
          <x:t xml:space="preserve">Item, Agent and Order management</x:t>
        </x:is>
      </x:c>
      <x:c r="C6" s="6" t="n">
        <x:v>10</x:v>
      </x:c>
      <x:c r="D6" s="5" t="n"/>
      <x:c r="E6" s="5" t="n"/>
      <x:c r="F6" s="6" t="inlineStr">
        <x:is>
          <x:t xml:space="preserve">CRUD, row version and stock SQL checks</x:t>
        </x:is>
      </x:c>
      <x:c r="G6" s="5" t="n"/>
    </x:row>
    <x:row r="7" ht="62" customHeight="1">
      <x:c r="A7" s="7" t="inlineStr">
        <x:is>
          <x:t xml:space="preserve">1.3</x:t>
        </x:is>
      </x:c>
      <x:c r="B7" s="7" t="inlineStr">
        <x:is>
          <x:t xml:space="preserve">Shipping manifest</x:t>
        </x:is>
      </x:c>
      <x:c r="C7" s="7" t="n">
        <x:v>5</x:v>
      </x:c>
      <x:c r="D7" s="5" t="n"/>
      <x:c r="E7" s="5" t="n"/>
      <x:c r="F7" s="7" t="inlineStr">
        <x:is>
          <x:t xml:space="preserve">HTML export and print stylesheet verified</x:t>
        </x:is>
      </x:c>
      <x:c r="G7" s="5" t="n"/>
    </x:row>
    <x:row r="8" ht="62" customHeight="1">
      <x:c r="A8" s="6" t="inlineStr">
        <x:is>
          <x:t xml:space="preserve">1.4</x:t>
        </x:is>
      </x:c>
      <x:c r="B8" s="6" t="inlineStr">
        <x:is>
          <x:t xml:space="preserve">Dashboard and filters</x:t>
        </x:is>
      </x:c>
      <x:c r="C8" s="6" t="n">
        <x:v>5</x:v>
      </x:c>
      <x:c r="D8" s="5" t="n"/>
      <x:c r="E8" s="5" t="n"/>
      <x:c r="F8" s="6" t="inlineStr">
        <x:is>
          <x:t xml:space="preserve">SQL agent/date filters verified</x:t>
        </x:is>
      </x:c>
      <x:c r="G8" s="5" t="n"/>
    </x:row>
    <x:row r="9" ht="62" customHeight="1">
      <x:c r="A9" s="7" t="inlineStr">
        <x:is>
          <x:t xml:space="preserve">3.1</x:t>
        </x:is>
      </x:c>
      <x:c r="B9" s="7" t="inlineStr">
        <x:is>
          <x:t xml:space="preserve">Agent login</x:t>
        </x:is>
      </x:c>
      <x:c r="C9" s="7" t="n">
        <x:v>5</x:v>
      </x:c>
      <x:c r="D9" s="5" t="n"/>
      <x:c r="E9" s="5" t="n"/>
      <x:c r="F9" s="7" t="inlineStr">
        <x:is>
          <x:t xml:space="preserve">Browser and SQL checks</x:t>
        </x:is>
      </x:c>
      <x:c r="G9" s="5" t="n"/>
    </x:row>
    <x:row r="10" ht="62" customHeight="1">
      <x:c r="A10" s="6" t="inlineStr">
        <x:is>
          <x:t xml:space="preserve">3.2</x:t>
        </x:is>
      </x:c>
      <x:c r="B10" s="6" t="inlineStr">
        <x:is>
          <x:t xml:space="preserve">Master-detail transaction</x:t>
        </x:is>
      </x:c>
      <x:c r="C10" s="6" t="n">
        <x:v>15</x:v>
      </x:c>
      <x:c r="D10" s="5" t="n"/>
      <x:c r="E10" s="5" t="n"/>
      <x:c r="F10" s="6" t="inlineStr">
        <x:is>
          <x:t xml:space="preserve">Rollback/replay/concurrency verified</x:t>
        </x:is>
      </x:c>
      <x:c r="G10" s="5" t="n"/>
    </x:row>
    <x:row r="11" ht="62" customHeight="1">
      <x:c r="A11" s="7" t="inlineStr">
        <x:is>
          <x:t xml:space="preserve">3.3</x:t>
        </x:is>
      </x:c>
      <x:c r="B11" s="7" t="inlineStr">
        <x:is>
          <x:t xml:space="preserve">My Orders and invoice</x:t>
        </x:is>
      </x:c>
      <x:c r="C11" s="7" t="n">
        <x:v>10</x:v>
      </x:c>
      <x:c r="D11" s="5" t="n"/>
      <x:c r="E11" s="5" t="n"/>
      <x:c r="F11" s="7" t="inlineStr">
        <x:is>
          <x:t xml:space="preserve">Browser and ownership checks</x:t>
        </x:is>
      </x:c>
      <x:c r="G11" s="5" t="n"/>
    </x:row>
    <x:row r="12" ht="62" customHeight="1">
      <x:c r="A12" s="6" t="inlineStr">
        <x:is>
          <x:t xml:space="preserve">3.4</x:t>
        </x:is>
      </x:c>
      <x:c r="B12" s="6" t="inlineStr">
        <x:is>
          <x:t xml:space="preserve">Responsive UI</x:t>
        </x:is>
      </x:c>
      <x:c r="C12" s="6" t="n">
        <x:v>5</x:v>
      </x:c>
      <x:c r="D12" s="5" t="n"/>
      <x:c r="E12" s="5" t="n"/>
      <x:c r="F12" s="6" t="inlineStr">
        <x:is>
          <x:t xml:space="preserve">Desktop and 304px view checked</x:t>
        </x:is>
      </x:c>
      <x:c r="G12" s="5" t="n"/>
    </x:row>
    <x:row r="13" ht="62" customHeight="1">
      <x:c r="A13" s="7" t="inlineStr">
        <x:is>
          <x:t xml:space="preserve">5.1</x:t>
        </x:is>
      </x:c>
      <x:c r="B13" s="7" t="inlineStr">
        <x:is>
          <x:t xml:space="preserve">Meaningful unit tests</x:t>
        </x:is>
      </x:c>
      <x:c r="C13" s="7" t="n">
        <x:v>15</x:v>
      </x:c>
      <x:c r="D13" s="5" t="n"/>
      <x:c r="E13" s="5" t="n"/>
      <x:c r="F13" s="7" t="inlineStr">
        <x:is>
          <x:t xml:space="preserve">19/19 passed</x:t>
        </x:is>
      </x:c>
      <x:c r="G13" s="5" t="n"/>
    </x:row>
    <x:row r="14" ht="62" customHeight="1">
      <x:c r="A14" s="6" t="inlineStr">
        <x:is>
          <x:t xml:space="preserve">6a</x:t>
        </x:is>
      </x:c>
      <x:c r="B14" s="6" t="inlineStr">
        <x:is>
          <x:t xml:space="preserve">Configuration</x:t>
        </x:is>
      </x:c>
      <x:c r="C14" s="6" t="n">
        <x:v>5</x:v>
      </x:c>
      <x:c r="D14" s="5" t="n"/>
      <x:c r="E14" s="5" t="n"/>
      <x:c r="F14" s="6" t="inlineStr">
        <x:is>
          <x:t xml:space="preserve">External config files used</x:t>
        </x:is>
      </x:c>
      <x:c r="G14" s="5" t="n"/>
    </x:row>
    <x:row r="15" ht="62" customHeight="1">
      <x:c r="A15" s="7" t="inlineStr">
        <x:is>
          <x:t xml:space="preserve">6b</x:t>
        </x:is>
      </x:c>
      <x:c r="B15" s="7" t="inlineStr">
        <x:is>
          <x:t xml:space="preserve">Git collaboration</x:t>
        </x:is>
      </x:c>
      <x:c r="C15" s="7" t="n">
        <x:v>5</x:v>
      </x:c>
      <x:c r="D15" s="5" t="n"/>
      <x:c r="E15" s="5" t="n"/>
      <x:c r="F15" s="7" t="inlineStr">
        <x:is>
          <x:t xml:space="preserve">Actual repository and PR history pending</x:t>
        </x:is>
      </x:c>
      <x:c r="G15" s="5" t="n"/>
    </x:row>
    <x:row r="16" ht="62" customHeight="1">
      <x:c r="A16" s="6" t="inlineStr">
        <x:is>
          <x:t xml:space="preserve">6c</x:t>
        </x:is>
      </x:c>
      <x:c r="B16" s="6" t="inlineStr">
        <x:is>
          <x:t xml:space="preserve">Professional report</x:t>
        </x:is>
      </x:c>
      <x:c r="C16" s="6" t="n">
        <x:v>5</x:v>
      </x:c>
      <x:c r="D16" s="5" t="n"/>
      <x:c r="E16" s="5" t="n"/>
      <x:c r="F16" s="6" t="inlineStr">
        <x:is>
          <x:t xml:space="preserve">Generated; full team record pending</x:t>
        </x:is>
      </x:c>
      <x:c r="G16" s="5" t="n"/>
    </x:row>
  </x:sheetData>
  <x:mergeCells>
    <x:mergeCell ref="A2:G2"/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20" customWidth="1"/>
    <x:col min="2" max="2" width="18" customWidth="1"/>
    <x:col min="3" max="3" width="82" customWidth="1"/>
    <x:col min="4" max="4" width="18" customWidth="1"/>
    <x:col min="5" max="5" width="65" customWidth="1"/>
  </x:cols>
  <x:sheetData>
    <x:row r="1" ht="30" customHeight="1">
      <x:c r="A1" s="1" t="inlineStr">
        <x:is>
          <x:t xml:space="preserve">Database | 23 October 2026</x:t>
        </x:is>
      </x:c>
      <x:c r="B1" s="1" t="n"/>
      <x:c r="C1" s="1" t="n"/>
      <x:c r="D1" s="1" t="n"/>
      <x:c r="E1" s="1" t="n"/>
    </x:row>
    <x:row r="2" ht="30" customHeight="1">
      <x:c r="A2" s="3" t="inlineStr">
        <x:is>
          <x:t xml:space="preserve">Verified artifacts and pending team/lecturer evidence are recorded separately.</x:t>
        </x:is>
      </x:c>
      <x:c r="B2" s="3" t="n"/>
      <x:c r="C2" s="3" t="n"/>
      <x:c r="D2" s="3" t="n"/>
      <x:c r="E2" s="3" t="n"/>
    </x:row>
    <x:row r="3">
      <x:c r="A3" s="4" t="inlineStr">
        <x:is>
          <x:t xml:space="preserve">Table</x:t>
        </x:is>
      </x:c>
      <x:c r="B3" s="4" t="inlineStr">
        <x:is>
          <x:t xml:space="preserve">PK</x:t>
        </x:is>
      </x:c>
      <x:c r="C3" s="4" t="inlineStr">
        <x:is>
          <x:t xml:space="preserve">Keys and constraints</x:t>
        </x:is>
      </x:c>
      <x:c r="D3" s="4" t="inlineStr">
        <x:is>
          <x:t xml:space="preserve">Seed rows</x:t>
        </x:is>
      </x:c>
      <x:c r="E3" s="4" t="inlineStr">
        <x:is>
          <x:t xml:space="preserve">Evidence</x:t>
        </x:is>
      </x:c>
    </x:row>
    <x:row r="4" ht="62" customHeight="1">
      <x:c r="A4" s="6" t="inlineStr">
        <x:is>
          <x:t xml:space="preserve">Item</x:t>
        </x:is>
      </x:c>
      <x:c r="B4" s="6" t="inlineStr">
        <x:is>
          <x:t xml:space="preserve">ItemID</x:t>
        </x:is>
      </x:c>
      <x:c r="C4" s="6" t="inlineStr">
        <x:is>
          <x:t xml:space="preserve">Positive price; nonnegative stock; RowVersion</x:t>
        </x:is>
      </x:c>
      <x:c r="D4" s="6" t="n">
        <x:v>15</x:v>
      </x:c>
      <x:c r="E4" s="6" t="inlineStr">
        <x:is>
          <x:t xml:space="preserve">Schema + SQL harness</x:t>
        </x:is>
      </x:c>
    </x:row>
    <x:row r="5" ht="62" customHeight="1">
      <x:c r="A5" s="7" t="inlineStr">
        <x:is>
          <x:t xml:space="preserve">Agent</x:t>
        </x:is>
      </x:c>
      <x:c r="B5" s="7" t="inlineStr">
        <x:is>
          <x:t xml:space="preserve">AgentID</x:t>
        </x:is>
      </x:c>
      <x:c r="C5" s="7" t="inlineStr">
        <x:is>
          <x:t xml:space="preserve">Unique phone; soft deactivation</x:t>
        </x:is>
      </x:c>
      <x:c r="D5" s="7" t="n">
        <x:v>15</x:v>
      </x:c>
      <x:c r="E5" s="7" t="inlineStr">
        <x:is>
          <x:t xml:space="preserve">Registration rollback tested</x:t>
        </x:is>
      </x:c>
    </x:row>
    <x:row r="6" ht="62" customHeight="1">
      <x:c r="A6" s="6" t="inlineStr">
        <x:is>
          <x:t xml:space="preserve">Order</x:t>
        </x:is>
      </x:c>
      <x:c r="B6" s="6" t="inlineStr">
        <x:is>
          <x:t xml:space="preserve">OrderID</x:t>
        </x:is>
      </x:c>
      <x:c r="C6" s="6" t="inlineStr">
        <x:is>
          <x:t xml:space="preserve">Agent FK; status check; unique RequestKey when set</x:t>
        </x:is>
      </x:c>
      <x:c r="D6" s="6" t="n">
        <x:v>15</x:v>
      </x:c>
      <x:c r="E6" s="6" t="inlineStr">
        <x:is>
          <x:t xml:space="preserve">Atomic/replayed orders tested</x:t>
        </x:is>
      </x:c>
    </x:row>
    <x:row r="7" ht="62" customHeight="1">
      <x:c r="A7" s="7" t="inlineStr">
        <x:is>
          <x:t xml:space="preserve">OrderDetail</x:t>
        </x:is>
      </x:c>
      <x:c r="B7" s="7" t="inlineStr">
        <x:is>
          <x:t xml:space="preserve">ID</x:t>
        </x:is>
      </x:c>
      <x:c r="C7" s="7" t="inlineStr">
        <x:is>
          <x:t xml:space="preserve">Order and Item FKs; unique order/item; positive qty/price</x:t>
        </x:is>
      </x:c>
      <x:c r="D7" s="7" t="n">
        <x:v>15</x:v>
      </x:c>
      <x:c r="E7" s="7" t="inlineStr">
        <x:is>
          <x:t xml:space="preserve">Mid-transaction rollback tested</x:t>
        </x:is>
      </x:c>
    </x:row>
    <x:row r="8" ht="62" customHeight="1">
      <x:c r="A8" s="6" t="inlineStr">
        <x:is>
          <x:t xml:space="preserve">Users</x:t>
        </x:is>
      </x:c>
      <x:c r="B8" s="6" t="inlineStr">
        <x:is>
          <x:t xml:space="preserve">UserID</x:t>
        </x:is>
      </x:c>
      <x:c r="C8" s="6" t="inlineStr">
        <x:is>
          <x:t xml:space="preserve">Unique username/email; role/agent CHECK; PBKDF2</x:t>
        </x:is>
      </x:c>
      <x:c r="D8" s="6" t="n">
        <x:v>16</x:v>
      </x:c>
      <x:c r="E8" s="6" t="inlineStr">
        <x:is>
          <x:t xml:space="preserve">Role and lockout tests</x:t>
        </x:is>
      </x:c>
    </x:row>
  </x:sheetData>
  <x:mergeCells>
    <x:mergeCell ref="A2:E2"/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33" customWidth="1"/>
    <x:col min="2" max="2" width="65" customWidth="1"/>
    <x:col min="3" max="3" width="80" customWidth="1"/>
    <x:col min="4" max="4" width="18" customWidth="1"/>
  </x:cols>
  <x:sheetData>
    <x:row r="1" ht="30" customHeight="1">
      <x:c r="A1" s="1" t="inlineStr">
        <x:is>
          <x:t xml:space="preserve">Transaction Tests | 23 October 2026</x:t>
        </x:is>
      </x:c>
      <x:c r="B1" s="1" t="n"/>
      <x:c r="C1" s="1" t="n"/>
      <x:c r="D1" s="1" t="n"/>
    </x:row>
    <x:row r="2" ht="30" customHeight="1">
      <x:c r="A2" s="3" t="inlineStr">
        <x:is>
          <x:t xml:space="preserve">Verified artifacts and pending team/lecturer evidence are recorded separately.</x:t>
        </x:is>
      </x:c>
      <x:c r="B2" s="3" t="n"/>
      <x:c r="C2" s="3" t="n"/>
      <x:c r="D2" s="3" t="n"/>
    </x:row>
    <x:row r="3">
      <x:c r="A3" s="4" t="inlineStr">
        <x:is>
          <x:t xml:space="preserve">Scenario</x:t>
        </x:is>
      </x:c>
      <x:c r="B3" s="4" t="inlineStr">
        <x:is>
          <x:t xml:space="preserve">Input</x:t>
        </x:is>
      </x:c>
      <x:c r="C3" s="4" t="inlineStr">
        <x:is>
          <x:t xml:space="preserve">Expected / actual</x:t>
        </x:is>
      </x:c>
      <x:c r="D3" s="4" t="inlineStr">
        <x:is>
          <x:t xml:space="preserve">Result</x:t>
        </x:is>
      </x:c>
    </x:row>
    <x:row r="4" ht="62" customHeight="1">
      <x:c r="A4" s="6" t="inlineStr">
        <x:is>
          <x:t xml:space="preserve">Enough stock</x:t>
        </x:is>
      </x:c>
      <x:c r="B4" s="6" t="inlineStr">
        <x:is>
          <x:t xml:space="preserve">2 × 100 + 3 × 75</x:t>
        </x:is>
      </x:c>
      <x:c r="C4" s="6" t="inlineStr">
        <x:is>
          <x:t xml:space="preserve">425 total; both stocks deducted</x:t>
        </x:is>
      </x:c>
      <x:c r="D4" s="6" t="inlineStr">
        <x:is>
          <x:t xml:space="preserve">Passed</x:t>
        </x:is>
      </x:c>
    </x:row>
    <x:row r="5" ht="62" customHeight="1">
      <x:c r="A5" s="7" t="inlineStr">
        <x:is>
          <x:t xml:space="preserve">Insufficient stock</x:t>
        </x:is>
      </x:c>
      <x:c r="B5" s="7" t="inlineStr">
        <x:is>
          <x:t xml:space="preserve">Second quantity 999</x:t>
        </x:is>
      </x:c>
      <x:c r="C5" s="7" t="inlineStr">
        <x:is>
          <x:t xml:space="preserve">No header/details; stocks unchanged</x:t>
        </x:is>
      </x:c>
      <x:c r="D5" s="7" t="inlineStr">
        <x:is>
          <x:t xml:space="preserve">Passed</x:t>
        </x:is>
      </x:c>
    </x:row>
    <x:row r="6" ht="62" customHeight="1">
      <x:c r="A6" s="6" t="inlineStr">
        <x:is>
          <x:t xml:space="preserve">Mid-transaction failure</x:t>
        </x:is>
      </x:c>
      <x:c r="B6" s="6" t="inlineStr">
        <x:is>
          <x:t xml:space="preserve">Controlled second-detail trigger failure</x:t>
        </x:is>
      </x:c>
      <x:c r="C6" s="6" t="inlineStr">
        <x:is>
          <x:t xml:space="preserve">Undo header, first detail and first deduction</x:t>
        </x:is>
      </x:c>
      <x:c r="D6" s="6" t="inlineStr">
        <x:is>
          <x:t xml:space="preserve">Passed</x:t>
        </x:is>
      </x:c>
    </x:row>
    <x:row r="7" ht="62" customHeight="1">
      <x:c r="A7" s="7" t="inlineStr">
        <x:is>
          <x:t xml:space="preserve">Replay same request key</x:t>
        </x:is>
      </x:c>
      <x:c r="B7" s="7" t="inlineStr">
        <x:is>
          <x:t xml:space="preserve">Duplicate checkout</x:t>
        </x:is>
      </x:c>
      <x:c r="C7" s="7" t="inlineStr">
        <x:is>
          <x:t xml:space="preserve">Same order; no second deduction</x:t>
        </x:is>
      </x:c>
      <x:c r="D7" s="7" t="inlineStr">
        <x:is>
          <x:t xml:space="preserve">Passed</x:t>
        </x:is>
      </x:c>
    </x:row>
    <x:row r="8" ht="62" customHeight="1">
      <x:c r="A8" s="6" t="inlineStr">
        <x:is>
          <x:t xml:space="preserve">Concurrent last unit</x:t>
        </x:is>
      </x:c>
      <x:c r="B8" s="6" t="inlineStr">
        <x:is>
          <x:t xml:space="preserve">Two simultaneous orders</x:t>
        </x:is>
      </x:c>
      <x:c r="C8" s="6" t="inlineStr">
        <x:is>
          <x:t xml:space="preserve">Exactly one succeeds; stock zero</x:t>
        </x:is>
      </x:c>
      <x:c r="D8" s="6" t="inlineStr">
        <x:is>
          <x:t xml:space="preserve">Passed</x:t>
        </x:is>
      </x:c>
    </x:row>
    <x:row r="9" ht="62" customHeight="1">
      <x:c r="A9" s="7" t="inlineStr">
        <x:is>
          <x:t xml:space="preserve">Cancel then repeat cancel</x:t>
        </x:is>
      </x:c>
      <x:c r="B9" s="7" t="inlineStr">
        <x:is>
          <x:t xml:space="preserve">Status compare/update</x:t>
        </x:is>
      </x:c>
      <x:c r="C9" s="7" t="inlineStr">
        <x:is>
          <x:t xml:space="preserve">Stock returned once only</x:t>
        </x:is>
      </x:c>
      <x:c r="D9" s="7" t="inlineStr">
        <x:is>
          <x:t xml:space="preserve">Passed</x:t>
        </x:is>
      </x:c>
    </x:row>
    <x:row r="10" ht="62" customHeight="1">
      <x:c r="A10" s="6" t="inlineStr">
        <x:is>
          <x:t xml:space="preserve">Foreign invoice</x:t>
        </x:is>
      </x:c>
      <x:c r="B10" s="6" t="inlineStr">
        <x:is>
          <x:t xml:space="preserve">Agent B requests A invoice</x:t>
        </x:is>
      </x:c>
      <x:c r="C10" s="6" t="inlineStr">
        <x:is>
          <x:t xml:space="preserve">No access</x:t>
        </x:is>
      </x:c>
      <x:c r="D10" s="6" t="inlineStr">
        <x:is>
          <x:t xml:space="preserve">Passed</x:t>
        </x:is>
      </x:c>
    </x:row>
    <x:row r="11" ht="62" customHeight="1">
      <x:c r="A11" s="7" t="inlineStr">
        <x:is>
          <x:t xml:space="preserve">Actual browser checkout</x:t>
        </x:is>
      </x:c>
      <x:c r="B11" s="7" t="inlineStr">
        <x:is>
          <x:t xml:space="preserve">Order #23: 2 Arabica + 3 Robusta</x:t>
        </x:is>
      </x:c>
      <x:c r="C11" s="7" t="inlineStr">
        <x:is>
          <x:t xml:space="preserve">1,045,000 VND</x:t>
        </x:is>
      </x:c>
      <x:c r="D11" s="7" t="inlineStr">
        <x:is>
          <x:t xml:space="preserve">Passed</x:t>
        </x:is>
      </x:c>
    </x:row>
    <x:row r="12" ht="60" customHeight="1">
      <x:c r="A12" s="11" t="str">
        <x:v>Two-line browser checkout</x:v>
      </x:c>
      <x:c r="B12" s="11" t="str">
        <x:v>Temporary Agent; two quantity fields; confirm payment</x:v>
      </x:c>
      <x:c r="C12" s="11" t="str">
        <x:v>Paid invoice and My Orders; fixture cleaned</x:v>
      </x:c>
      <x:c r="D12" s="11" t="str">
        <x:v>Passed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62" customWidth="1"/>
    <x:col min="2" max="2" width="68" customWidth="1"/>
    <x:col min="3" max="3" width="30" customWidth="1"/>
    <x:col min="4" max="4" width="20" customWidth="1"/>
  </x:cols>
  <x:sheetData>
    <x:row r="1" ht="30" customHeight="1">
      <x:c r="A1" s="1" t="inlineStr">
        <x:is>
          <x:t xml:space="preserve">Unit Tests | 23 October 2026</x:t>
        </x:is>
      </x:c>
      <x:c r="B1" s="1" t="n"/>
      <x:c r="C1" s="1" t="n"/>
      <x:c r="D1" s="1" t="n"/>
    </x:row>
    <x:row r="2" ht="30" customHeight="1">
      <x:c r="A2" s="3" t="inlineStr">
        <x:is>
          <x:t xml:space="preserve">Verified artifacts and pending team/lecturer evidence are recorded separately.</x:t>
        </x:is>
      </x:c>
      <x:c r="B2" s="3" t="n"/>
      <x:c r="C2" s="3" t="n"/>
      <x:c r="D2" s="3" t="n"/>
    </x:row>
    <x:row r="3">
      <x:c r="A3" s="4" t="inlineStr">
        <x:is>
          <x:t xml:space="preserve">Test name</x:t>
        </x:is>
      </x:c>
      <x:c r="B3" s="4" t="inlineStr">
        <x:is>
          <x:t xml:space="preserve">Business logic</x:t>
        </x:is>
      </x:c>
      <x:c r="C3" s="4" t="inlineStr">
        <x:is>
          <x:t xml:space="preserve">Expected</x:t>
        </x:is>
      </x:c>
      <x:c r="D3" s="4" t="inlineStr">
        <x:is>
          <x:t xml:space="preserve">Actual</x:t>
        </x:is>
      </x:c>
    </x:row>
    <x:row r="4" ht="55" customHeight="1">
      <x:c r="A4" s="9" t="str">
        <x:v>WrongPasswordDoesNotMatch</x:v>
      </x:c>
      <x:c r="B4" s="9" t="str">
        <x:v>Domain rules, passwords or local assistant; inspect test method</x:v>
      </x:c>
      <x:c r="C4" s="9" t="str">
        <x:v>Assertion passes</x:v>
      </x:c>
      <x:c r="D4" s="9" t="str">
        <x:v>Passed</x:v>
      </x:c>
    </x:row>
    <x:row r="5" ht="55" customHeight="1">
      <x:c r="A5" s="10" t="str">
        <x:v>RejectsEmptyHashPayload</x:v>
      </x:c>
      <x:c r="B5" s="10" t="str">
        <x:v>Domain rules, passwords or local assistant; inspect test method</x:v>
      </x:c>
      <x:c r="C5" s="10" t="str">
        <x:v>Assertion passes</x:v>
      </x:c>
      <x:c r="D5" s="10" t="str">
        <x:v>Passed</x:v>
      </x:c>
    </x:row>
    <x:row r="6" ht="55" customHeight="1">
      <x:c r="A6" s="9" t="str">
        <x:v>AllowsOnlyValidOrderTransitions</x:v>
      </x:c>
      <x:c r="B6" s="9" t="str">
        <x:v>Domain rules, passwords or local assistant; inspect test method</x:v>
      </x:c>
      <x:c r="C6" s="9" t="str">
        <x:v>Assertion passes</x:v>
      </x:c>
      <x:c r="D6" s="9" t="str">
        <x:v>Passed</x:v>
      </x:c>
    </x:row>
    <x:row r="7" ht="55" customHeight="1">
      <x:c r="A7" s="10" t="str">
        <x:v>VietnameseProductRecommendationUsesRealPrice</x:v>
      </x:c>
      <x:c r="B7" s="10" t="str">
        <x:v>Domain rules, passwords or local assistant; inspect test method</x:v>
      </x:c>
      <x:c r="C7" s="10" t="str">
        <x:v>Assertion passes</x:v>
      </x:c>
      <x:c r="D7" s="10" t="str">
        <x:v>Passed</x:v>
      </x:c>
    </x:row>
    <x:row r="8" ht="55" customHeight="1">
      <x:c r="A8" s="9" t="str">
        <x:v>AllowsExactStockAndBlocksOversell</x:v>
      </x:c>
      <x:c r="B8" s="9" t="str">
        <x:v>Domain rules, passwords or local assistant; inspect test method</x:v>
      </x:c>
      <x:c r="C8" s="9" t="str">
        <x:v>Assertion passes</x:v>
      </x:c>
      <x:c r="D8" s="9" t="str">
        <x:v>Passed</x:v>
      </x:c>
    </x:row>
    <x:row r="9" ht="55" customHeight="1">
      <x:c r="A9" s="10" t="str">
        <x:v>NeverRecommendsUnavailableStock</x:v>
      </x:c>
      <x:c r="B9" s="10" t="str">
        <x:v>Domain rules, passwords or local assistant; inspect test method</x:v>
      </x:c>
      <x:c r="C9" s="10" t="str">
        <x:v>Assertion passes</x:v>
      </x:c>
      <x:c r="D9" s="10" t="str">
        <x:v>Passed</x:v>
      </x:c>
    </x:row>
    <x:row r="10" ht="55" customHeight="1">
      <x:c r="A10" s="9" t="str">
        <x:v>RejectsNegativePrice</x:v>
      </x:c>
      <x:c r="B10" s="9" t="str">
        <x:v>Domain rules, passwords or local assistant; inspect test method</x:v>
      </x:c>
      <x:c r="C10" s="9" t="str">
        <x:v>Assertion passes</x:v>
      </x:c>
      <x:c r="D10" s="9" t="str">
        <x:v>Passed</x:v>
      </x:c>
    </x:row>
    <x:row r="11" ht="55" customHeight="1">
      <x:c r="A11" s="10" t="str">
        <x:v>CannotCancelShippedOrder</x:v>
      </x:c>
      <x:c r="B11" s="10" t="str">
        <x:v>Domain rules, passwords or local assistant; inspect test method</x:v>
      </x:c>
      <x:c r="C11" s="10" t="str">
        <x:v>Assertion passes</x:v>
      </x:c>
      <x:c r="D11" s="10" t="str">
        <x:v>Passed</x:v>
      </x:c>
    </x:row>
    <x:row r="12" ht="55" customHeight="1">
      <x:c r="A12" s="9" t="str">
        <x:v>ZeroStockCannotBeDeducted</x:v>
      </x:c>
      <x:c r="B12" s="9" t="str">
        <x:v>Domain rules, passwords or local assistant; inspect test method</x:v>
      </x:c>
      <x:c r="C12" s="9" t="str">
        <x:v>Assertion passes</x:v>
      </x:c>
      <x:c r="D12" s="9" t="str">
        <x:v>Passed</x:v>
      </x:c>
    </x:row>
    <x:row r="13" ht="55" customHeight="1">
      <x:c r="A13" s="10" t="str">
        <x:v>UnknownQuestionDoesNotInventAnswer</x:v>
      </x:c>
      <x:c r="B13" s="10" t="str">
        <x:v>Domain rules, passwords or local assistant; inspect test method</x:v>
      </x:c>
      <x:c r="C13" s="10" t="str">
        <x:v>Assertion passes</x:v>
      </x:c>
      <x:c r="D13" s="10" t="str">
        <x:v>Passed</x:v>
      </x:c>
    </x:row>
    <x:row r="14" ht="55" customHeight="1">
      <x:c r="A14" s="9" t="str">
        <x:v>LocksAtFiveFailedAttempts</x:v>
      </x:c>
      <x:c r="B14" s="9" t="str">
        <x:v>Domain rules, passwords or local assistant; inspect test method</x:v>
      </x:c>
      <x:c r="C14" s="9" t="str">
        <x:v>Assertion passes</x:v>
      </x:c>
      <x:c r="D14" s="9" t="str">
        <x:v>Passed</x:v>
      </x:c>
    </x:row>
    <x:row r="15" ht="55" customHeight="1">
      <x:c r="A15" s="10" t="str">
        <x:v>RejectsEmptyOrder</x:v>
      </x:c>
      <x:c r="B15" s="10" t="str">
        <x:v>Domain rules, passwords or local assistant; inspect test method</x:v>
      </x:c>
      <x:c r="C15" s="10" t="str">
        <x:v>Assertion passes</x:v>
      </x:c>
      <x:c r="D15" s="10" t="str">
        <x:v>Passed</x:v>
      </x:c>
    </x:row>
    <x:row r="16" ht="55" customHeight="1">
      <x:c r="A16" s="9" t="str">
        <x:v>DeductsStockWithoutMutatingOriginal</x:v>
      </x:c>
      <x:c r="B16" s="9" t="str">
        <x:v>Domain rules, passwords or local assistant; inspect test method</x:v>
      </x:c>
      <x:c r="C16" s="9" t="str">
        <x:v>Assertion passes</x:v>
      </x:c>
      <x:c r="D16" s="9" t="str">
        <x:v>Passed</x:v>
      </x:c>
    </x:row>
    <x:row r="17" ht="55" customHeight="1">
      <x:c r="A17" s="10" t="str">
        <x:v>RejectsZeroQuantity</x:v>
      </x:c>
      <x:c r="B17" s="10" t="str">
        <x:v>Domain rules, passwords or local assistant; inspect test method</x:v>
      </x:c>
      <x:c r="C17" s="10" t="str">
        <x:v>Assertion passes</x:v>
      </x:c>
      <x:c r="D17" s="10" t="str">
        <x:v>Passed</x:v>
      </x:c>
    </x:row>
    <x:row r="18" ht="55" customHeight="1">
      <x:c r="A18" s="9" t="str">
        <x:v>AnswersStockFromSuppliedKnowledge</x:v>
      </x:c>
      <x:c r="B18" s="9" t="str">
        <x:v>Domain rules, passwords or local assistant; inspect test method</x:v>
      </x:c>
      <x:c r="C18" s="9" t="str">
        <x:v>Assertion passes</x:v>
      </x:c>
      <x:c r="D18" s="9" t="str">
        <x:v>Passed</x:v>
      </x:c>
    </x:row>
    <x:row r="19" ht="55" customHeight="1">
      <x:c r="A19" s="10" t="str">
        <x:v>CorrectPasswordMatches</x:v>
      </x:c>
      <x:c r="B19" s="10" t="str">
        <x:v>Domain rules, passwords or local assistant; inspect test method</x:v>
      </x:c>
      <x:c r="C19" s="10" t="str">
        <x:v>Assertion passes</x:v>
      </x:c>
      <x:c r="D19" s="10" t="str">
        <x:v>Passed</x:v>
      </x:c>
    </x:row>
    <x:row r="20" ht="55" customHeight="1">
      <x:c r="A20" s="9" t="str">
        <x:v>RejectsUnboundedIterations</x:v>
      </x:c>
      <x:c r="B20" s="9" t="str">
        <x:v>Domain rules, passwords or local assistant; inspect test method</x:v>
      </x:c>
      <x:c r="C20" s="9" t="str">
        <x:v>Assertion passes</x:v>
      </x:c>
      <x:c r="D20" s="9" t="str">
        <x:v>Passed</x:v>
      </x:c>
    </x:row>
    <x:row r="21" ht="55" customHeight="1">
      <x:c r="A21" s="10" t="str">
        <x:v>RejectsShortPasswordAtCreation</x:v>
      </x:c>
      <x:c r="B21" s="10" t="str">
        <x:v>Domain rules, passwords or local assistant; inspect test method</x:v>
      </x:c>
      <x:c r="C21" s="10" t="str">
        <x:v>Assertion passes</x:v>
      </x:c>
      <x:c r="D21" s="10" t="str">
        <x:v>Passed</x:v>
      </x:c>
    </x:row>
    <x:row r="22" ht="55" customHeight="1">
      <x:c r="A22" s="9" t="str">
        <x:v>CanCancelOnlyUnshippedOrders</x:v>
      </x:c>
      <x:c r="B22" s="9" t="str">
        <x:v>Domain rules, passwords or local assistant; inspect test method</x:v>
      </x:c>
      <x:c r="C22" s="9" t="str">
        <x:v>Assertion passes</x:v>
      </x:c>
      <x:c r="D22" s="9" t="str">
        <x:v>Passed</x:v>
      </x:c>
    </x:row>
    <x:row r="23" ht="55" customHeight="1">
      <x:c r="A23" s="11" t="str">
        <x:v>UnderstandsVietnameseWithoutAccentMismatch</x:v>
      </x:c>
      <x:c r="B23" s="11" t="str">
        <x:v>Domain rules, passwords or local assistant; inspect test method</x:v>
      </x:c>
      <x:c r="C23" s="11" t="str">
        <x:v>Assertion passes</x:v>
      </x:c>
      <x:c r="D23" s="11" t="str">
        <x:v>Passed</x:v>
      </x:c>
    </x:row>
    <x:row r="24" ht="55" customHeight="1">
      <x:c r="A24" s="11" t="str">
        <x:v>RecommendationsRespectBudget</x:v>
      </x:c>
      <x:c r="B24" s="11" t="str">
        <x:v>Domain rules, passwords or local assistant; inspect test method</x:v>
      </x:c>
      <x:c r="C24" s="11" t="str">
        <x:v>Assertion passes</x:v>
      </x:c>
      <x:c r="D24" s="11" t="str">
        <x:v>Passed</x:v>
      </x:c>
    </x:row>
    <x:row r="25" ht="55" customHeight="1">
      <x:c r="A25" s="11" t="str">
        <x:v>RejectsMalformedBase64</x:v>
      </x:c>
      <x:c r="B25" s="11" t="str">
        <x:v>Domain rules, passwords or local assistant; inspect test method</x:v>
      </x:c>
      <x:c r="C25" s="11" t="str">
        <x:v>Assertion passes</x:v>
      </x:c>
      <x:c r="D25" s="11" t="str">
        <x:v>Passed</x:v>
      </x:c>
    </x:row>
    <x:row r="26" ht="55" customHeight="1">
      <x:c r="A26" s="11" t="str">
        <x:v>SaltMakesHashesUnique</x:v>
      </x:c>
      <x:c r="B26" s="11" t="str">
        <x:v>Domain rules, passwords or local assistant; inspect test method</x:v>
      </x:c>
      <x:c r="C26" s="11" t="str">
        <x:v>Assertion passes</x:v>
      </x:c>
      <x:c r="D26" s="11" t="str">
        <x:v>Passed</x:v>
      </x:c>
    </x:row>
    <x:row r="27" ht="55" customHeight="1">
      <x:c r="A27" s="11" t="str">
        <x:v>CalculatesMasterDetailTotal</x:v>
      </x:c>
      <x:c r="B27" s="11" t="str">
        <x:v>Domain rules, passwords or local assistant; inspect test method</x:v>
      </x:c>
      <x:c r="C27" s="11" t="str">
        <x:v>Assertion passes</x:v>
      </x:c>
      <x:c r="D27" s="11" t="str">
        <x:v>Passed</x:v>
      </x:c>
    </x:row>
    <x:row r="28" ht="55" customHeight="1">
      <x:c r="A28" s="11" t="str">
        <x:v>EmptyQuestionReturnsSafeFallback</x:v>
      </x:c>
      <x:c r="B28" s="11" t="str">
        <x:v>Domain rules, passwords or local assistant; inspect test method</x:v>
      </x:c>
      <x:c r="C28" s="11" t="str">
        <x:v>Assertion passes</x:v>
      </x:c>
      <x:c r="D28" s="11" t="str">
        <x:v>Passed</x:v>
      </x:c>
    </x:row>
    <x:row r="29" ht="55" customHeight="1">
      <x:c r="A29" s="11" t="str">
        <x:v>ThrowsWhenDeductionWouldGoNegative</x:v>
      </x:c>
      <x:c r="B29" s="11" t="str">
        <x:v>Domain rules, passwords or local assistant; inspect test method</x:v>
      </x:c>
      <x:c r="C29" s="11" t="str">
        <x:v>Assertion passes</x:v>
      </x:c>
      <x:c r="D29" s="11" t="str">
        <x:v>Passed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32" customWidth="1"/>
    <x:col min="2" max="2" width="48" customWidth="1"/>
    <x:col min="3" max="3" width="65" customWidth="1"/>
    <x:col min="4" max="4" width="28" customWidth="1"/>
    <x:col min="5" max="5" width="70" customWidth="1"/>
  </x:cols>
  <x:sheetData>
    <x:row r="1" ht="30" customHeight="1">
      <x:c r="A1" s="1" t="inlineStr">
        <x:is>
          <x:t xml:space="preserve">Branches &amp; PRs | 23 October 2026</x:t>
        </x:is>
      </x:c>
      <x:c r="B1" s="1" t="n"/>
      <x:c r="C1" s="1" t="n"/>
      <x:c r="D1" s="1" t="n"/>
      <x:c r="E1" s="1" t="n"/>
    </x:row>
    <x:row r="2" ht="30" customHeight="1">
      <x:c r="A2" s="3" t="inlineStr">
        <x:is>
          <x:t xml:space="preserve">Verified artifacts and pending team/lecturer evidence are recorded separately.</x:t>
        </x:is>
      </x:c>
      <x:c r="B2" s="2" t="n"/>
      <x:c r="C2" s="2" t="n"/>
      <x:c r="D2" s="2" t="n"/>
      <x:c r="E2" s="3" t="n"/>
    </x:row>
    <x:row r="3">
      <x:c r="A3" s="4" t="inlineStr">
        <x:is>
          <x:t xml:space="preserve">Feature</x:t>
        </x:is>
      </x:c>
      <x:c r="B3" s="4" t="inlineStr">
        <x:is>
          <x:t xml:space="preserve">Suggested branch</x:t>
        </x:is>
      </x:c>
      <x:c r="C3" s="4" t="inlineStr">
        <x:is>
          <x:t xml:space="preserve">Actual PR</x:t>
        </x:is>
      </x:c>
      <x:c r="D3" s="4" t="inlineStr">
        <x:is>
          <x:t xml:space="preserve">Reviewer</x:t>
        </x:is>
      </x:c>
      <x:c r="E3" s="4" t="inlineStr">
        <x:is>
          <x:t xml:space="preserve">Status</x:t>
        </x:is>
      </x:c>
    </x:row>
    <x:row r="4" ht="62" customHeight="1">
      <x:c r="A4" s="6" t="inlineStr">
        <x:is>
          <x:t xml:space="preserve">Database</x:t>
        </x:is>
      </x:c>
      <x:c r="B4" s="5" t="inlineStr">
        <x:is>
          <x:t xml:space="preserve">feature/database-integrity</x:t>
        </x:is>
      </x:c>
      <x:c r="C4" s="5" t="n"/>
      <x:c r="D4" s="5" t="n"/>
      <x:c r="E4" s="6" t="inlineStr">
        <x:is>
          <x:t xml:space="preserve">Suggested workflow; no historical activity invented</x:t>
        </x:is>
      </x:c>
    </x:row>
    <x:row r="5" ht="62" customHeight="1">
      <x:c r="A5" s="7" t="inlineStr">
        <x:is>
          <x:t xml:space="preserve">Desktop</x:t>
        </x:is>
      </x:c>
      <x:c r="B5" s="5" t="inlineStr">
        <x:is>
          <x:t xml:space="preserve">feature/admin-workspace</x:t>
        </x:is>
      </x:c>
      <x:c r="C5" s="5" t="n"/>
      <x:c r="D5" s="5" t="n"/>
      <x:c r="E5" s="7" t="inlineStr">
        <x:is>
          <x:t xml:space="preserve">Suggested workflow; no historical activity invented</x:t>
        </x:is>
      </x:c>
    </x:row>
    <x:row r="6" ht="62" customHeight="1">
      <x:c r="A6" s="6" t="inlineStr">
        <x:is>
          <x:t xml:space="preserve">Portal</x:t>
        </x:is>
      </x:c>
      <x:c r="B6" s="5" t="inlineStr">
        <x:is>
          <x:t xml:space="preserve">feature/agent-portal</x:t>
        </x:is>
      </x:c>
      <x:c r="C6" s="5" t="n"/>
      <x:c r="D6" s="5" t="n"/>
      <x:c r="E6" s="6" t="inlineStr">
        <x:is>
          <x:t xml:space="preserve">Suggested workflow; no historical activity invented</x:t>
        </x:is>
      </x:c>
    </x:row>
    <x:row r="7" ht="62" customHeight="1">
      <x:c r="A7" s="7" t="inlineStr">
        <x:is>
          <x:t xml:space="preserve">Tests and documents</x:t>
        </x:is>
      </x:c>
      <x:c r="B7" s="5" t="inlineStr">
        <x:is>
          <x:t xml:space="preserve">feature/testing-docs</x:t>
        </x:is>
      </x:c>
      <x:c r="C7" s="5" t="n"/>
      <x:c r="D7" s="5" t="n"/>
      <x:c r="E7" s="7" t="inlineStr">
        <x:is>
          <x:t xml:space="preserve">Suggested workflow; no historical activity invented</x:t>
        </x:is>
      </x:c>
    </x:row>
  </x:sheetData>
  <x:mergeCells>
    <x:mergeCell ref="A2:E2"/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32" customWidth="1"/>
    <x:col min="2" max="2" width="70" customWidth="1"/>
    <x:col min="3" max="3" width="78" customWidth="1"/>
    <x:col min="4" max="4" width="24" customWidth="1"/>
    <x:col min="5" max="5" width="35" customWidth="1"/>
  </x:cols>
  <x:sheetData>
    <x:row r="1" ht="30" customHeight="1">
      <x:c r="A1" s="1" t="inlineStr">
        <x:is>
          <x:t xml:space="preserve">Config Check | 23 October 2026</x:t>
        </x:is>
      </x:c>
      <x:c r="B1" s="1" t="n"/>
      <x:c r="C1" s="1" t="n"/>
      <x:c r="D1" s="1" t="n"/>
      <x:c r="E1" s="1" t="n"/>
    </x:row>
    <x:row r="2" ht="30" customHeight="1">
      <x:c r="A2" s="3" t="inlineStr">
        <x:is>
          <x:t xml:space="preserve">Verified artifacts and pending team/lecturer evidence are recorded separately.</x:t>
        </x:is>
      </x:c>
      <x:c r="B2" s="3" t="n"/>
      <x:c r="C2" s="3" t="n"/>
      <x:c r="D2" s="3" t="n"/>
      <x:c r="E2" s="2" t="n"/>
    </x:row>
    <x:row r="3">
      <x:c r="A3" s="4" t="inlineStr">
        <x:is>
          <x:t xml:space="preserve">Check</x:t>
        </x:is>
      </x:c>
      <x:c r="B3" s="4" t="inlineStr">
        <x:is>
          <x:t xml:space="preserve">Location</x:t>
        </x:is>
      </x:c>
      <x:c r="C3" s="4" t="inlineStr">
        <x:is>
          <x:t xml:space="preserve">How read / verified</x:t>
        </x:is>
      </x:c>
      <x:c r="D3" s="4" t="inlineStr">
        <x:is>
          <x:t xml:space="preserve">Result</x:t>
        </x:is>
      </x:c>
      <x:c r="E3" s="4" t="inlineStr">
        <x:is>
          <x:t xml:space="preserve">Lecturer feedback</x:t>
        </x:is>
      </x:c>
    </x:row>
    <x:row r="4" ht="62" customHeight="1">
      <x:c r="A4" s="6" t="inlineStr">
        <x:is>
          <x:t xml:space="preserve">Admin connection</x:t>
        </x:is>
      </x:c>
      <x:c r="B4" s="6" t="inlineStr">
        <x:is>
          <x:t xml:space="preserve">src/Wholesale.AdminWinForms/App.config</x:t>
        </x:is>
      </x:c>
      <x:c r="C4" s="6" t="inlineStr">
        <x:is>
          <x:t xml:space="preserve">XML configured connection</x:t>
        </x:is>
      </x:c>
      <x:c r="D4" s="6" t="inlineStr">
        <x:is>
          <x:t xml:space="preserve">Verified</x:t>
        </x:is>
      </x:c>
      <x:c r="E4" s="8" t="n"/>
    </x:row>
    <x:row r="5" ht="62" customHeight="1">
      <x:c r="A5" s="7" t="inlineStr">
        <x:is>
          <x:t xml:space="preserve">Portal connection</x:t>
        </x:is>
      </x:c>
      <x:c r="B5" s="7" t="inlineStr">
        <x:is>
          <x:t xml:space="preserve">src/AgentPortal/appsettings.json</x:t>
        </x:is>
      </x:c>
      <x:c r="C5" s="7" t="inlineStr">
        <x:is>
          <x:t xml:space="preserve">GetConnectionString; environment overrides</x:t>
        </x:is>
      </x:c>
      <x:c r="D5" s="7" t="inlineStr">
        <x:is>
          <x:t xml:space="preserve">Verified</x:t>
        </x:is>
      </x:c>
      <x:c r="E5" s="8" t="n"/>
    </x:row>
    <x:row r="6" ht="62" customHeight="1">
      <x:c r="A6" s="6" t="inlineStr">
        <x:is>
          <x:t xml:space="preserve">No application hardcoded connection</x:t>
        </x:is>
      </x:c>
      <x:c r="B6" s="6" t="inlineStr">
        <x:is>
          <x:t xml:space="preserve">*.cs files</x:t>
        </x:is>
      </x:c>
      <x:c r="C6" s="6" t="inlineStr">
        <x:is>
          <x:t xml:space="preserve">Connections read from configuration</x:t>
        </x:is>
      </x:c>
      <x:c r="D6" s="6" t="inlineStr">
        <x:is>
          <x:t xml:space="preserve">Verified source</x:t>
        </x:is>
      </x:c>
      <x:c r="E6" s="8" t="n"/>
    </x:row>
    <x:row r="7" ht="62" customHeight="1">
      <x:c r="A7" s="7" t="inlineStr">
        <x:is>
          <x:t xml:space="preserve">Passwords</x:t>
        </x:is>
      </x:c>
      <x:c r="B7" s="7" t="inlineStr">
        <x:is>
          <x:t xml:space="preserve">Users.PasswordHash</x:t>
        </x:is>
      </x:c>
      <x:c r="C7" s="7" t="inlineStr">
        <x:is>
          <x:t xml:space="preserve">Shared PBKDF2 + bounded format + constant-time match</x:t>
        </x:is>
      </x:c>
      <x:c r="D7" s="7" t="inlineStr">
        <x:is>
          <x:t xml:space="preserve">Unit/SQL tests</x:t>
        </x:is>
      </x:c>
      <x:c r="E7" s="8" t="n"/>
    </x:row>
    <x:row r="8" ht="62" customHeight="1">
      <x:c r="A8" s="6" t="inlineStr">
        <x:is>
          <x:t xml:space="preserve">Key material</x:t>
        </x:is>
      </x:c>
      <x:c r="B8" s="6" t="inlineStr">
        <x:is>
          <x:t xml:space="preserve">App_Data/keys</x:t>
        </x:is>
      </x:c>
      <x:c r="C8" s="6" t="inlineStr">
        <x:is>
          <x:t xml:space="preserve">Ignored; excluded from packages</x:t>
        </x:is>
      </x:c>
      <x:c r="D8" s="6" t="inlineStr">
        <x:is>
          <x:t xml:space="preserve">Verified</x:t>
        </x:is>
      </x:c>
      <x:c r="E8" s="8" t="n"/>
    </x:row>
  </x:sheetData>
  <x:mergeCells>
    <x:mergeCell ref="A2:E2"/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24" customWidth="1"/>
    <x:col min="2" max="2" width="20" customWidth="1"/>
    <x:col min="3" max="3" width="65" customWidth="1"/>
    <x:col min="4" max="4" width="65" customWidth="1"/>
    <x:col min="5" max="5" width="55" customWidth="1"/>
  </x:cols>
  <x:sheetData>
    <x:row r="1" ht="30" customHeight="1">
      <x:c r="A1" s="1" t="inlineStr">
        <x:is>
          <x:t xml:space="preserve">AI Usage Log | 23 October 2026</x:t>
        </x:is>
      </x:c>
      <x:c r="B1" s="1" t="n"/>
      <x:c r="C1" s="1" t="n"/>
      <x:c r="D1" s="1" t="n"/>
      <x:c r="E1" s="1" t="n"/>
    </x:row>
    <x:row r="2" ht="30" customHeight="1">
      <x:c r="A2" s="3" t="inlineStr">
        <x:is>
          <x:t xml:space="preserve">Verified artifacts and pending team/lecturer evidence are recorded separately.</x:t>
        </x:is>
      </x:c>
      <x:c r="B2" s="3" t="n"/>
      <x:c r="C2" s="3" t="n"/>
      <x:c r="D2" s="3" t="n"/>
      <x:c r="E2" s="3" t="n"/>
    </x:row>
    <x:row r="3">
      <x:c r="A3" s="4" t="inlineStr">
        <x:is>
          <x:t xml:space="preserve">Date</x:t>
        </x:is>
      </x:c>
      <x:c r="B3" s="4" t="inlineStr">
        <x:is>
          <x:t xml:space="preserve">Tool</x:t>
        </x:is>
      </x:c>
      <x:c r="C3" s="4" t="inlineStr">
        <x:is>
          <x:t xml:space="preserve">Actual prompt summary</x:t>
        </x:is>
      </x:c>
      <x:c r="D3" s="4" t="inlineStr">
        <x:is>
          <x:t xml:space="preserve">Kept / changed</x:t>
        </x:is>
      </x:c>
      <x:c r="E3" s="4" t="inlineStr">
        <x:is>
          <x:t xml:space="preserve">Validation</x:t>
        </x:is>
      </x:c>
    </x:row>
    <x:row r="4" ht="62" customHeight="1">
      <x:c r="A4" s="6" t="inlineStr">
        <x:is>
          <x:t xml:space="preserve">23 October 2026</x:t>
        </x:is>
      </x:c>
      <x:c r="B4" s="6" t="inlineStr">
        <x:is>
          <x:t xml:space="preserve">Codex</x:t>
        </x:is>
      </x:c>
      <x:c r="C4" s="6" t="inlineStr">
        <x:is>
          <x:t xml:space="preserve">Complete both PDF assignments</x:t>
        </x:is>
      </x:c>
      <x:c r="D4" s="6" t="inlineStr">
        <x:is>
          <x:t xml:space="preserve">Code and rubric artifacts</x:t>
        </x:is>
      </x:c>
      <x:c r="E4" s="6" t="str">
        <x:v>26 unit + 44 SQL/browser checks</x:v>
      </x:c>
    </x:row>
    <x:row r="5" ht="62" customHeight="1">
      <x:c r="A5" s="7" t="inlineStr">
        <x:is>
          <x:t xml:space="preserve">23 October 2026</x:t>
        </x:is>
      </x:c>
      <x:c r="B5" s="7" t="inlineStr">
        <x:is>
          <x:t xml:space="preserve">Codex</x:t>
        </x:is>
      </x:c>
      <x:c r="C5" s="7" t="inlineStr">
        <x:is>
          <x:t xml:space="preserve">MilkyBloom-like layout; preserve features</x:t>
        </x:is>
      </x:c>
      <x:c r="D5" s="7" t="inlineStr">
        <x:is>
          <x:t xml:space="preserve">Original home/cards/3D media</x:t>
        </x:is>
      </x:c>
      <x:c r="E5" s="7" t="inlineStr">
        <x:is>
          <x:t xml:space="preserve">Desktop + narrow browser demo</x:t>
        </x:is>
      </x:c>
    </x:row>
    <x:row r="6" ht="62" customHeight="1">
      <x:c r="A6" s="6" t="inlineStr">
        <x:is>
          <x:t xml:space="preserve">23 October 2026</x:t>
        </x:is>
      </x:c>
      <x:c r="B6" s="6" t="inlineStr">
        <x:is>
          <x:t xml:space="preserve">image_gen</x:t>
        </x:is>
      </x:c>
      <x:c r="C6" s="6" t="inlineStr">
        <x:is>
          <x:t xml:space="preserve">Joyful 3D wholesale delivery scene</x:t>
        </x:is>
      </x:c>
      <x:c r="D6" s="6" t="inlineStr">
        <x:is>
          <x:t xml:space="preserve">Original artwork + 30-second motion graphics</x:t>
        </x:is>
      </x:c>
      <x:c r="E6" s="6" t="inlineStr">
        <x:is>
          <x:t xml:space="preserve">Inspected image and duration</x:t>
        </x:is>
      </x:c>
    </x:row>
    <x:row r="7" ht="70" customHeight="1">
      <x:c r="A7" s="11" t="str">
        <x:v>23 October 2026</x:v>
      </x:c>
      <x:c r="B7" s="11" t="str">
        <x:v>Codex</x:v>
      </x:c>
      <x:c r="C7" s="11" t="str">
        <x:v>Add local AI and flexible palettes</x:v>
      </x:c>
      <x:c r="D7" s="11" t="str">
        <x:v>TF-IDF guidance; read-only recommendations; three themes</x:v>
      </x:c>
      <x:c r="E7" s="11" t="str">
        <x:v>21 A1 / 26 A2 unit tests; browser AI demo</x:v>
      </x:c>
    </x:row>
    <x:row r="8" ht="70" customHeight="1">
      <x:c r="A8" s="11" t="str">
        <x:v>24 October 2026</x:v>
      </x:c>
      <x:c r="B8" s="11" t="str">
        <x:v>Codex</x:v>
      </x:c>
      <x:c r="C8" s="11" t="str">
        <x:v>Verify transactions and printable evidence</x:v>
      </x:c>
      <x:c r="D8" s="11" t="str">
        <x:v>Two-product browser checkout; paid A4 invoice; mobile overlap fix</x:v>
      </x:c>
      <x:c r="E8" s="11" t="str">
        <x:v>26 unit + 44 SQL/browser checks</x:v>
      </x:c>
    </x:row>
  </x:sheetData>
  <x:mergeCells>
    <x:mergeCell ref="A2:E2"/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25" customWidth="1"/>
    <x:col min="2" max="2" width="48" customWidth="1"/>
    <x:col min="3" max="3" width="20" customWidth="1"/>
    <x:col min="4" max="4" width="40" customWidth="1"/>
    <x:col min="5" max="5" width="65" customWidth="1"/>
    <x:col min="6" max="6" width="80" customWidth="1"/>
  </x:cols>
  <x:sheetData>
    <x:row r="1" ht="30" customHeight="1">
      <x:c r="A1" s="1" t="inlineStr">
        <x:is>
          <x:t xml:space="preserve">Commit Log | 23 October 2026</x:t>
        </x:is>
      </x:c>
      <x:c r="B1" s="1" t="n"/>
      <x:c r="C1" s="1" t="n"/>
      <x:c r="D1" s="1" t="n"/>
      <x:c r="E1" s="1" t="n"/>
      <x:c r="F1" s="1" t="n"/>
    </x:row>
    <x:row r="2" ht="30" customHeight="1">
      <x:c r="A2" s="2" t="inlineStr">
        <x:is>
          <x:t xml:space="preserve">Verified artifacts and pending team/lecturer evidence are recorded separately.</x:t>
        </x:is>
      </x:c>
      <x:c r="B2" s="2" t="n"/>
      <x:c r="C2" s="2" t="n"/>
      <x:c r="D2" s="2" t="n"/>
      <x:c r="E2" s="2" t="n"/>
      <x:c r="F2" s="2" t="n"/>
    </x:row>
    <x:row r="3">
      <x:c r="A3" s="4" t="inlineStr">
        <x:is>
          <x:t xml:space="preserve">Date / lab</x:t>
        </x:is>
      </x:c>
      <x:c r="B3" s="4" t="inlineStr">
        <x:is>
          <x:t xml:space="preserve">Commit SHA</x:t>
        </x:is>
      </x:c>
      <x:c r="C3" s="4" t="inlineStr">
        <x:is>
          <x:t xml:space="preserve">Student ID</x:t>
        </x:is>
      </x:c>
      <x:c r="D3" s="4" t="inlineStr">
        <x:is>
          <x:t xml:space="preserve">Branch</x:t>
        </x:is>
      </x:c>
      <x:c r="E3" s="4" t="inlineStr">
        <x:is>
          <x:t xml:space="preserve">PR URL</x:t>
        </x:is>
      </x:c>
      <x:c r="F3" s="4" t="inlineStr">
        <x:is>
          <x:t xml:space="preserve">Evidence</x:t>
        </x:is>
      </x:c>
    </x:row>
    <x:row r="4" ht="62" customHeight="1">
      <x:c r="A4" s="5" t="inlineStr">
        <x:is>
          <x:t xml:space="preserve">No entries recorded</x:t>
        </x:is>
      </x:c>
      <x:c r="B4" s="5" t="n"/>
      <x:c r="C4" s="5" t="n"/>
      <x:c r="D4" s="5" t="n"/>
      <x:c r="E4" s="5" t="n"/>
      <x:c r="F4" s="5" t="inlineStr">
        <x:is>
          <x:t xml:space="preserve">Local main has no commits or remote. Add genuine group evidence.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26" customWidth="1"/>
    <x:col min="2" max="2" width="65" customWidth="1"/>
    <x:col min="3" max="3" width="70" customWidth="1"/>
    <x:col min="4" max="4" width="60" customWidth="1"/>
    <x:col min="5" max="5" width="28" customWidth="1"/>
    <x:col min="6" max="6" width="45" customWidth="1"/>
  </x:cols>
  <x:sheetData>
    <x:row r="1" ht="30" customHeight="1">
      <x:c r="A1" s="1" t="inlineStr">
        <x:is>
          <x:t xml:space="preserve">Progress Log | 23 October 2026</x:t>
        </x:is>
      </x:c>
      <x:c r="B1" s="1" t="n"/>
      <x:c r="C1" s="1" t="n"/>
      <x:c r="D1" s="1" t="n"/>
      <x:c r="E1" s="1" t="n"/>
      <x:c r="F1" s="1" t="n"/>
    </x:row>
    <x:row r="2" ht="30" customHeight="1">
      <x:c r="A2" s="3" t="inlineStr">
        <x:is>
          <x:t xml:space="preserve">Verified artifacts and pending team/lecturer evidence are recorded separately.</x:t>
        </x:is>
      </x:c>
      <x:c r="B2" s="2" t="n"/>
      <x:c r="C2" s="2" t="n"/>
      <x:c r="D2" s="2" t="n"/>
      <x:c r="E2" s="2" t="n"/>
      <x:c r="F2" s="2" t="n"/>
    </x:row>
    <x:row r="3">
      <x:c r="A3" s="4" t="inlineStr">
        <x:is>
          <x:t xml:space="preserve">Date / lab</x:t>
        </x:is>
      </x:c>
      <x:c r="B3" s="4" t="inlineStr">
        <x:is>
          <x:t xml:space="preserve">Plan</x:t>
        </x:is>
      </x:c>
      <x:c r="C3" s="4" t="inlineStr">
        <x:is>
          <x:t xml:space="preserve">Actual work</x:t>
        </x:is>
      </x:c>
      <x:c r="D3" s="4" t="inlineStr">
        <x:is>
          <x:t xml:space="preserve">Evidence</x:t>
        </x:is>
      </x:c>
      <x:c r="E3" s="4" t="inlineStr">
        <x:is>
          <x:t xml:space="preserve">Student</x:t>
        </x:is>
      </x:c>
      <x:c r="F3" s="4" t="inlineStr">
        <x:is>
          <x:t xml:space="preserve">Lecturer feedback</x:t>
        </x:is>
      </x:c>
    </x:row>
    <x:row r="4" ht="62" customHeight="1">
      <x:c r="A4" s="6" t="inlineStr">
        <x:is>
          <x:t xml:space="preserve">23 October 2026</x:t>
        </x:is>
      </x:c>
      <x:c r="B4" s="5" t="inlineStr">
        <x:is>
          <x:t xml:space="preserve">Close rubric gaps and upgrade demos</x:t>
        </x:is>
      </x:c>
      <x:c r="C4" s="5" t="inlineStr">
        <x:is>
          <x:t xml:space="preserve">Built UI, domain rules, tests and documents</x:t>
        </x:is>
      </x:c>
      <x:c r="D4" s="5" t="inlineStr">
        <x:is>
          <x:t xml:space="preserve">docs/evidence and screenshots</x:t>
        </x:is>
      </x:c>
      <x:c r="E4" s="5" t="n"/>
      <x:c r="F4" s="8" t="n"/>
    </x:row>
    <x:row r="5" ht="62" customHeight="1">
      <x:c r="A5" s="7" t="inlineStr">
        <x:is>
          <x:t xml:space="preserve">Lab 7 / Week 1</x:t>
        </x:is>
      </x:c>
      <x:c r="B5" s="5" t="inlineStr">
        <x:is>
          <x:t xml:space="preserve">Record actual team work</x:t>
        </x:is>
      </x:c>
      <x:c r="C5" s="5" t="n"/>
      <x:c r="D5" s="5" t="n"/>
      <x:c r="E5" s="5" t="n"/>
      <x:c r="F5" s="8" t="n"/>
    </x:row>
    <x:row r="6" ht="62" customHeight="1">
      <x:c r="A6" s="6" t="inlineStr">
        <x:is>
          <x:t xml:space="preserve">Lab 8 / Week 2</x:t>
        </x:is>
      </x:c>
      <x:c r="B6" s="5" t="inlineStr">
        <x:is>
          <x:t xml:space="preserve">Record actual team work</x:t>
        </x:is>
      </x:c>
      <x:c r="C6" s="5" t="n"/>
      <x:c r="D6" s="5" t="n"/>
      <x:c r="E6" s="5" t="n"/>
      <x:c r="F6" s="8" t="n"/>
    </x:row>
    <x:row r="7" ht="62" customHeight="1">
      <x:c r="A7" s="7" t="inlineStr">
        <x:is>
          <x:t xml:space="preserve">Lab 9 / Week 3</x:t>
        </x:is>
      </x:c>
      <x:c r="B7" s="5" t="inlineStr">
        <x:is>
          <x:t xml:space="preserve">Record actual team work</x:t>
        </x:is>
      </x:c>
      <x:c r="C7" s="5" t="n"/>
      <x:c r="D7" s="5" t="n"/>
      <x:c r="E7" s="5" t="n"/>
      <x:c r="F7" s="8" t="n"/>
    </x:row>
    <x:row r="8" ht="62" customHeight="1">
      <x:c r="A8" s="6" t="inlineStr">
        <x:is>
          <x:t xml:space="preserve">Lab 10 / Week 4</x:t>
        </x:is>
      </x:c>
      <x:c r="B8" s="5" t="inlineStr">
        <x:is>
          <x:t xml:space="preserve">Record actual team work</x:t>
        </x:is>
      </x:c>
      <x:c r="C8" s="5" t="n"/>
      <x:c r="D8" s="5" t="n"/>
      <x:c r="E8" s="5" t="n"/>
      <x:c r="F8" s="8" t="n"/>
    </x:row>
  </x:sheetData>
  <x:mergeCells>
    <x:mergeCell ref="A2:F2"/>
    <x:mergeCell ref="A1:F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2" customWidth="1"/>
    <x:col min="2" max="2" width="50" customWidth="1"/>
    <x:col min="3" max="3" width="15" customWidth="1"/>
    <x:col min="4" max="4" width="20" customWidth="1"/>
    <x:col min="5" max="5" width="22" customWidth="1"/>
    <x:col min="6" max="6" width="75" customWidth="1"/>
    <x:col min="7" max="7" width="20" customWidth="1"/>
  </x:cols>
  <x:sheetData>
    <x:row r="1" ht="30" customHeight="1">
      <x:c r="A1" s="1" t="inlineStr">
        <x:is>
          <x:t xml:space="preserve">Marking | 23 October 2026</x:t>
        </x:is>
      </x:c>
      <x:c r="B1" s="1" t="n"/>
      <x:c r="C1" s="1" t="n"/>
      <x:c r="D1" s="1" t="n"/>
      <x:c r="E1" s="1" t="n"/>
      <x:c r="F1" s="1" t="n"/>
      <x:c r="G1" s="1" t="n"/>
    </x:row>
    <x:row r="2" ht="30" customHeight="1">
      <x:c r="A2" s="3" t="inlineStr">
        <x:is>
          <x:t xml:space="preserve">Verified artifacts and pending team/lecturer evidence are recorded separately.</x:t>
        </x:is>
      </x:c>
      <x:c r="B2" s="3" t="n"/>
      <x:c r="C2" s="3" t="n"/>
      <x:c r="D2" s="2" t="n"/>
      <x:c r="E2" s="2" t="n"/>
      <x:c r="F2" s="3" t="n"/>
      <x:c r="G2" s="3" t="n"/>
    </x:row>
    <x:row r="3">
      <x:c r="A3" s="4" t="inlineStr">
        <x:is>
          <x:t xml:space="preserve">Task</x:t>
        </x:is>
      </x:c>
      <x:c r="B3" s="4" t="inlineStr">
        <x:is>
          <x:t xml:space="preserve">Criterion</x:t>
        </x:is>
      </x:c>
      <x:c r="C3" s="4" t="inlineStr">
        <x:is>
          <x:t xml:space="preserve">Maximum</x:t>
        </x:is>
      </x:c>
      <x:c r="D3" s="4" t="inlineStr">
        <x:is>
          <x:t xml:space="preserve">Self-mark</x:t>
        </x:is>
      </x:c>
      <x:c r="E3" s="4" t="inlineStr">
        <x:is>
          <x:t xml:space="preserve">Lecturer mark</x:t>
        </x:is>
      </x:c>
      <x:c r="F3" s="4" t="inlineStr">
        <x:is>
          <x:t xml:space="preserve">Status / evidence</x:t>
        </x:is>
      </x:c>
      <x:c r="G3" s="4" t="inlineStr">
        <x:is>
          <x:t xml:space="preserve">Section</x:t>
        </x:is>
      </x:c>
    </x:row>
    <x:row r="4" ht="42" customHeight="1">
      <x:c r="A4" s="6" t="inlineStr">
        <x:is>
          <x:t xml:space="preserve">DB</x:t>
        </x:is>
      </x:c>
      <x:c r="B4" s="6" t="inlineStr">
        <x:is>
          <x:t xml:space="preserve">Database and integrity</x:t>
        </x:is>
      </x:c>
      <x:c r="C4" s="6" t="n">
        <x:v>10</x:v>
      </x:c>
      <x:c r="D4" s="5" t="n"/>
      <x:c r="E4" s="8" t="n"/>
      <x:c r="F4" s="6" t="inlineStr">
        <x:is>
          <x:t xml:space="preserve">Schema/seed and SQL verified</x:t>
        </x:is>
      </x:c>
      <x:c r="G4" s="6" t="inlineStr">
        <x:is>
          <x:t xml:space="preserve">3</x:t>
        </x:is>
      </x:c>
    </x:row>
    <x:row r="5" ht="42" customHeight="1">
      <x:c r="A5" s="7" t="inlineStr">
        <x:is>
          <x:t xml:space="preserve">1.1</x:t>
        </x:is>
      </x:c>
      <x:c r="B5" s="7" t="inlineStr">
        <x:is>
          <x:t xml:space="preserve">Admin login</x:t>
        </x:is>
      </x:c>
      <x:c r="C5" s="7" t="n">
        <x:v>5</x:v>
      </x:c>
      <x:c r="D5" s="5" t="n"/>
      <x:c r="E5" s="8" t="n"/>
      <x:c r="F5" s="7" t="inlineStr">
        <x:is>
          <x:t xml:space="preserve">Role and lockout SQL checks</x:t>
        </x:is>
      </x:c>
      <x:c r="G5" s="7" t="inlineStr">
        <x:is>
          <x:t xml:space="preserve">4.1</x:t>
        </x:is>
      </x:c>
    </x:row>
    <x:row r="6" ht="42" customHeight="1">
      <x:c r="A6" s="6" t="inlineStr">
        <x:is>
          <x:t xml:space="preserve">1.2</x:t>
        </x:is>
      </x:c>
      <x:c r="B6" s="6" t="inlineStr">
        <x:is>
          <x:t xml:space="preserve">Item, Agent and Order management</x:t>
        </x:is>
      </x:c>
      <x:c r="C6" s="6" t="n">
        <x:v>10</x:v>
      </x:c>
      <x:c r="D6" s="5" t="n"/>
      <x:c r="E6" s="8" t="n"/>
      <x:c r="F6" s="6" t="inlineStr">
        <x:is>
          <x:t xml:space="preserve">CRUD, row version and stock SQL checks</x:t>
        </x:is>
      </x:c>
      <x:c r="G6" s="6" t="inlineStr">
        <x:is>
          <x:t xml:space="preserve">4.2</x:t>
        </x:is>
      </x:c>
    </x:row>
    <x:row r="7" ht="42" customHeight="1">
      <x:c r="A7" s="7" t="inlineStr">
        <x:is>
          <x:t xml:space="preserve">1.3</x:t>
        </x:is>
      </x:c>
      <x:c r="B7" s="7" t="inlineStr">
        <x:is>
          <x:t xml:space="preserve">Shipping manifest</x:t>
        </x:is>
      </x:c>
      <x:c r="C7" s="7" t="n">
        <x:v>5</x:v>
      </x:c>
      <x:c r="D7" s="5" t="n"/>
      <x:c r="E7" s="8" t="n"/>
      <x:c r="F7" s="7" t="str">
        <x:v>One-page A4 shipping-manifest PDF checked</x:v>
      </x:c>
      <x:c r="G7" s="7" t="inlineStr">
        <x:is>
          <x:t xml:space="preserve">4.3</x:t>
        </x:is>
      </x:c>
    </x:row>
    <x:row r="8" ht="42" customHeight="1">
      <x:c r="A8" s="6" t="inlineStr">
        <x:is>
          <x:t xml:space="preserve">1.4</x:t>
        </x:is>
      </x:c>
      <x:c r="B8" s="6" t="inlineStr">
        <x:is>
          <x:t xml:space="preserve">Dashboard and filters</x:t>
        </x:is>
      </x:c>
      <x:c r="C8" s="6" t="n">
        <x:v>5</x:v>
      </x:c>
      <x:c r="D8" s="5" t="n"/>
      <x:c r="E8" s="8" t="n"/>
      <x:c r="F8" s="6" t="inlineStr">
        <x:is>
          <x:t xml:space="preserve">SQL agent/date filters verified</x:t>
        </x:is>
      </x:c>
      <x:c r="G8" s="6" t="inlineStr">
        <x:is>
          <x:t xml:space="preserve">4.4</x:t>
        </x:is>
      </x:c>
    </x:row>
    <x:row r="9" ht="42" customHeight="1">
      <x:c r="A9" s="7" t="inlineStr">
        <x:is>
          <x:t xml:space="preserve">3.1</x:t>
        </x:is>
      </x:c>
      <x:c r="B9" s="7" t="inlineStr">
        <x:is>
          <x:t xml:space="preserve">Agent login</x:t>
        </x:is>
      </x:c>
      <x:c r="C9" s="7" t="n">
        <x:v>5</x:v>
      </x:c>
      <x:c r="D9" s="5" t="n"/>
      <x:c r="E9" s="8" t="n"/>
      <x:c r="F9" s="7" t="inlineStr">
        <x:is>
          <x:t xml:space="preserve">Browser and SQL checks</x:t>
        </x:is>
      </x:c>
      <x:c r="G9" s="7" t="inlineStr">
        <x:is>
          <x:t xml:space="preserve">5.2</x:t>
        </x:is>
      </x:c>
    </x:row>
    <x:row r="10" ht="42" customHeight="1">
      <x:c r="A10" s="6" t="inlineStr">
        <x:is>
          <x:t xml:space="preserve">3.2</x:t>
        </x:is>
      </x:c>
      <x:c r="B10" s="6" t="inlineStr">
        <x:is>
          <x:t xml:space="preserve">Master-detail transaction</x:t>
        </x:is>
      </x:c>
      <x:c r="C10" s="6" t="n">
        <x:v>15</x:v>
      </x:c>
      <x:c r="D10" s="5" t="n"/>
      <x:c r="E10" s="8" t="n"/>
      <x:c r="F10" s="6" t="inlineStr">
        <x:is>
          <x:t xml:space="preserve">Rollback/replay/concurrency verified</x:t>
        </x:is>
      </x:c>
      <x:c r="G10" s="6" t="inlineStr">
        <x:is>
          <x:t xml:space="preserve">5.3</x:t>
        </x:is>
      </x:c>
    </x:row>
    <x:row r="11" ht="42" customHeight="1">
      <x:c r="A11" s="7" t="inlineStr">
        <x:is>
          <x:t xml:space="preserve">3.3</x:t>
        </x:is>
      </x:c>
      <x:c r="B11" s="7" t="inlineStr">
        <x:is>
          <x:t xml:space="preserve">My Orders and invoice</x:t>
        </x:is>
      </x:c>
      <x:c r="C11" s="7" t="n">
        <x:v>10</x:v>
      </x:c>
      <x:c r="D11" s="5" t="n"/>
      <x:c r="E11" s="8" t="n"/>
      <x:c r="F11" s="7" t="str">
        <x:v>Browser checkout, owner isolation, Paid PDF checked</x:v>
      </x:c>
      <x:c r="G11" s="7" t="inlineStr">
        <x:is>
          <x:t xml:space="preserve">5.4</x:t>
        </x:is>
      </x:c>
    </x:row>
    <x:row r="12" ht="42" customHeight="1">
      <x:c r="A12" s="6" t="inlineStr">
        <x:is>
          <x:t xml:space="preserve">3.4</x:t>
        </x:is>
      </x:c>
      <x:c r="B12" s="6" t="inlineStr">
        <x:is>
          <x:t xml:space="preserve">Responsive UI</x:t>
        </x:is>
      </x:c>
      <x:c r="C12" s="6" t="n">
        <x:v>5</x:v>
      </x:c>
      <x:c r="D12" s="5" t="n"/>
      <x:c r="E12" s="8" t="n"/>
      <x:c r="F12" s="6" t="str">
        <x:v>304px invoice, no overflow or helper obstruction</x:v>
      </x:c>
      <x:c r="G12" s="6" t="inlineStr">
        <x:is>
          <x:t xml:space="preserve">5.5</x:t>
        </x:is>
      </x:c>
    </x:row>
    <x:row r="13" ht="42" customHeight="1">
      <x:c r="A13" s="7" t="inlineStr">
        <x:is>
          <x:t xml:space="preserve">5.1</x:t>
        </x:is>
      </x:c>
      <x:c r="B13" s="7" t="inlineStr">
        <x:is>
          <x:t xml:space="preserve">Meaningful unit tests</x:t>
        </x:is>
      </x:c>
      <x:c r="C13" s="7" t="n">
        <x:v>15</x:v>
      </x:c>
      <x:c r="D13" s="5" t="n"/>
      <x:c r="E13" s="8" t="n"/>
      <x:c r="F13" s="7" t="str">
        <x:v>26/26 passed</x:v>
      </x:c>
      <x:c r="G13" s="7" t="inlineStr">
        <x:is>
          <x:t xml:space="preserve">6</x:t>
        </x:is>
      </x:c>
    </x:row>
    <x:row r="14" ht="42" customHeight="1">
      <x:c r="A14" s="6" t="inlineStr">
        <x:is>
          <x:t xml:space="preserve">6a</x:t>
        </x:is>
      </x:c>
      <x:c r="B14" s="6" t="inlineStr">
        <x:is>
          <x:t xml:space="preserve">Configuration</x:t>
        </x:is>
      </x:c>
      <x:c r="C14" s="6" t="n">
        <x:v>5</x:v>
      </x:c>
      <x:c r="D14" s="5" t="n"/>
      <x:c r="E14" s="8" t="n"/>
      <x:c r="F14" s="6" t="inlineStr">
        <x:is>
          <x:t xml:space="preserve">External config files used</x:t>
        </x:is>
      </x:c>
      <x:c r="G14" s="6" t="inlineStr">
        <x:is>
          <x:t xml:space="preserve">7</x:t>
        </x:is>
      </x:c>
    </x:row>
    <x:row r="15" ht="42" customHeight="1">
      <x:c r="A15" s="7" t="inlineStr">
        <x:is>
          <x:t xml:space="preserve">6b</x:t>
        </x:is>
      </x:c>
      <x:c r="B15" s="7" t="inlineStr">
        <x:is>
          <x:t xml:space="preserve">Git collaboration</x:t>
        </x:is>
      </x:c>
      <x:c r="C15" s="7" t="n">
        <x:v>5</x:v>
      </x:c>
      <x:c r="D15" s="5" t="n"/>
      <x:c r="E15" s="8" t="n"/>
      <x:c r="F15" s="7" t="inlineStr">
        <x:is>
          <x:t xml:space="preserve">Actual repository and PR history pending</x:t>
        </x:is>
      </x:c>
      <x:c r="G15" s="7" t="inlineStr">
        <x:is>
          <x:t xml:space="preserve">8</x:t>
        </x:is>
      </x:c>
    </x:row>
    <x:row r="16" ht="42" customHeight="1">
      <x:c r="A16" s="6" t="inlineStr">
        <x:is>
          <x:t xml:space="preserve">6c</x:t>
        </x:is>
      </x:c>
      <x:c r="B16" s="6" t="inlineStr">
        <x:is>
          <x:t xml:space="preserve">Professional report</x:t>
        </x:is>
      </x:c>
      <x:c r="C16" s="6" t="n">
        <x:v>5</x:v>
      </x:c>
      <x:c r="D16" s="5" t="n"/>
      <x:c r="E16" s="8" t="n"/>
      <x:c r="F16" s="6" t="inlineStr">
        <x:is>
          <x:t xml:space="preserve">Generated; full team record pending</x:t>
        </x:is>
      </x:c>
      <x:c r="G16" s="6" t="inlineStr">
        <x:is>
          <x:t xml:space="preserve">1-10</x:t>
        </x:is>
      </x:c>
    </x:row>
    <x:row r="17">
      <x:c r="A17" t="inlineStr">
        <x:is>
          <x:t xml:space="preserve">TOTAL</x:t>
        </x:is>
      </x:c>
      <x:c r="C17" t="n">
        <x:f>SUM(C4:C16)</x:f>
        <x:v>100</x:v>
      </x:c>
      <x:c r="D17" t="str">
        <x:f>IF(COUNT(D4:D16)=0,"",SUM(D4:D16))</x:f>
      </x:c>
      <x:c r="E17" t="str">
        <x:f>IF(COUNT(E4:E16)=0,"",SUM(E4:E16))</x:f>
      </x:c>
      <x:c r="F17" t="inlineStr">
        <x:is>
          <x:t xml:space="preserve">Marks are not guaranteed</x:t>
        </x:is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44" customWidth="1"/>
    <x:col min="2" max="2" width="53" customWidth="1"/>
    <x:col min="3" max="3" width="90" customWidth="1"/>
  </x:cols>
  <x:sheetData>
    <x:row r="1" ht="30" customHeight="1">
      <x:c r="A1" s="1" t="inlineStr">
        <x:is>
          <x:t xml:space="preserve">Summary | 23 October 2026</x:t>
        </x:is>
      </x:c>
      <x:c r="B1" s="1" t="n"/>
      <x:c r="C1" s="1" t="n"/>
    </x:row>
    <x:row r="2" ht="30" customHeight="1">
      <x:c r="A2" s="3" t="inlineStr">
        <x:is>
          <x:t xml:space="preserve">Verified artifacts and pending team/lecturer evidence are recorded separately.</x:t>
        </x:is>
      </x:c>
      <x:c r="B2" s="3" t="n"/>
      <x:c r="C2" s="3" t="n"/>
    </x:row>
    <x:row r="3">
      <x:c r="A3" s="4" t="inlineStr">
        <x:is>
          <x:t xml:space="preserve">Metric</x:t>
        </x:is>
      </x:c>
      <x:c r="B3" s="4" t="inlineStr">
        <x:is>
          <x:t xml:space="preserve">Value</x:t>
        </x:is>
      </x:c>
      <x:c r="C3" s="4" t="inlineStr">
        <x:is>
          <x:t xml:space="preserve">Meaning</x:t>
        </x:is>
      </x:c>
    </x:row>
    <x:row r="4" ht="42" customHeight="1">
      <x:c r="A4" s="6" t="inlineStr">
        <x:is>
          <x:t xml:space="preserve">Maximum score</x:t>
        </x:is>
      </x:c>
      <x:c r="B4" s="6" t="n">
        <x:v>100</x:v>
      </x:c>
      <x:c r="C4" s="6" t="inlineStr">
        <x:is>
          <x:t xml:space="preserve">Rubric total</x:t>
        </x:is>
      </x:c>
    </x:row>
    <x:row r="5" ht="42" customHeight="1">
      <x:c r="A5" s="7" t="inlineStr">
        <x:is>
          <x:t xml:space="preserve">Self-mark</x:t>
        </x:is>
      </x:c>
      <x:c r="B5" s="7" t="str">
        <x:f>IF(COUNT(Marking!D4:D16)=0,"",SUM(Marking!D4:D16))</x:f>
      </x:c>
      <x:c r="C5" s="7" t="inlineStr">
        <x:is>
          <x:t xml:space="preserve">Team review required</x:t>
        </x:is>
      </x:c>
    </x:row>
    <x:row r="6" ht="42" customHeight="1">
      <x:c r="A6" s="6" t="inlineStr">
        <x:is>
          <x:t xml:space="preserve">Lecturer mark</x:t>
        </x:is>
      </x:c>
      <x:c r="B6" s="6" t="str">
        <x:f>IF(COUNT(Marking!E4:E16)=0,"",SUM(Marking!E4:E16))</x:f>
      </x:c>
      <x:c r="C6" s="6" t="inlineStr">
        <x:is>
          <x:t xml:space="preserve">Lecturer input only</x:t>
        </x:is>
      </x:c>
    </x:row>
    <x:row r="7" ht="42" customHeight="1">
      <x:c r="A7" s="7" t="inlineStr">
        <x:is>
          <x:t xml:space="preserve">QT2 weight</x:t>
        </x:is>
      </x:c>
      <x:c r="B7" s="7" t="n">
        <x:v>0.3</x:v>
      </x:c>
      <x:c r="C7" s="7" t="inlineStr">
        <x:is>
          <x:t xml:space="preserve">Assignment fraction</x:t>
        </x:is>
      </x:c>
    </x:row>
    <x:row r="8" ht="42" customHeight="1">
      <x:c r="A8" s="6" t="inlineStr">
        <x:is>
          <x:t xml:space="preserve">Weighted QT2 percentage points</x:t>
        </x:is>
      </x:c>
      <x:c r="B8" s="6" t="str">
        <x:f>IF(B6="","",B6*B7)</x:f>
      </x:c>
      <x:c r="C8" s="6" t="inlineStr">
        <x:is>
          <x:t xml:space="preserve">Lecturer score times weight</x:t>
        </x:is>
      </x:c>
    </x:row>
    <x:row r="9" ht="42" customHeight="1">
      <x:c r="A9" s="7" t="inlineStr">
        <x:is>
          <x:t xml:space="preserve">Member count</x:t>
        </x:is>
      </x:c>
      <x:c r="B9" s="7" t="n">
        <x:f>COUNTA(Team!B4:B8)</x:f>
        <x:v>1</x:v>
      </x:c>
      <x:c r="C9" s="7" t="inlineStr">
        <x:is>
          <x:t xml:space="preserve">Must be 3–5</x:t>
        </x:is>
      </x:c>
    </x:row>
    <x:row r="10" ht="42" customHeight="1">
      <x:c r="A10" s="6" t="inlineStr">
        <x:is>
          <x:t xml:space="preserve">Contribution total</x:t>
        </x:is>
      </x:c>
      <x:c r="B10" s="6" t="n">
        <x:f>SUM(Team!D4:D8)</x:f>
        <x:v>0</x:v>
      </x:c>
      <x:c r="C10" s="6" t="inlineStr">
        <x:is>
          <x:t xml:space="preserve">Must be 100</x:t>
        </x:is>
      </x:c>
    </x:row>
    <x:row r="11" ht="42" customHeight="1">
      <x:c r="A11" s="7" t="inlineStr">
        <x:is>
          <x:t xml:space="preserve">Team readiness</x:t>
        </x:is>
      </x:c>
      <x:c r="B11" s="7" t="str">
        <x:f>IF(AND(B9&gt;=3,B9&lt;=5,B10=100),"Ready","Missing team details")</x:f>
        <x:v>Missing team details</x:v>
      </x:c>
      <x:c r="C11" s="7" t="inlineStr">
        <x:is>
          <x:t xml:space="preserve">Do not fabricate members or contributions</x:t>
        </x:is>
      </x:c>
    </x:row>
    <x:row r="12" ht="42" customHeight="1">
      <x:c r="A12" s="6" t="inlineStr">
        <x:is>
          <x:t xml:space="preserve">GitHub repository</x:t>
        </x:is>
      </x:c>
      <x:c r="B12" s="6" t="inlineStr">
        <x:is>
          <x:t xml:space="preserve">Pending</x:t>
        </x:is>
      </x:c>
      <x:c r="C12" s="6" t="inlineStr">
        <x:is>
          <x:t xml:space="preserve">Provided URL is an account profile</x:t>
        </x:is>
      </x:c>
    </x:row>
    <x:row r="13" ht="42" customHeight="1">
      <x:c r="A13" s="7" t="inlineStr">
        <x:is>
          <x:t xml:space="preserve">Manual evidence</x:t>
        </x:is>
      </x:c>
      <x:c r="B13" s="7" t="inlineStr">
        <x:is>
          <x:t xml:space="preserve">Genuine group repository and PRs</x:t>
        </x:is>
      </x:c>
      <x:c r="C13" s="7" t="inlineStr">
        <x:is>
          <x:t xml:space="preserve">See report</x:t>
        </x:is>
      </x:c>
    </x:row>
  </x:sheetData>
  <x:mergeCells>
    <x:mergeCell ref="A1:C1"/>
    <x:mergeCell ref="A2:C2"/>
  </x:mergeCells>
  <x:pageMargins left="0.7" right="0.7" top="0.75" bottom="0.75" header="0.3" footer="0.3"/>
</x:worksheet>
</file>